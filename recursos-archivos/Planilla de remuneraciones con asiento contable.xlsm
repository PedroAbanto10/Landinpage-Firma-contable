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Informacion Contable Tributaria Laboral\Macros Excel plantillas\Laboral\"/>
    </mc:Choice>
  </mc:AlternateContent>
  <xr:revisionPtr revIDLastSave="0" documentId="13_ncr:1_{B41C5E81-CDEF-4972-8517-C1FDBD56DE56}" xr6:coauthVersionLast="47" xr6:coauthVersionMax="47" xr10:uidLastSave="{00000000-0000-0000-0000-000000000000}"/>
  <bookViews>
    <workbookView xWindow="-109" yWindow="-109" windowWidth="26301" windowHeight="14169" firstSheet="1" activeTab="2" xr2:uid="{5D07F8E7-4626-41AE-8795-7438A4A65B17}"/>
  </bookViews>
  <sheets>
    <sheet name="datos" sheetId="2" state="hidden" r:id="rId1"/>
    <sheet name="Planilla" sheetId="1" r:id="rId2"/>
    <sheet name="Asiento" sheetId="3" r:id="rId3"/>
  </sheets>
  <definedNames>
    <definedName name="Bien">#REF!</definedName>
    <definedName name="BIENALQUILAD0">#REF!</definedName>
    <definedName name="ubigeo">#REF!</definedName>
    <definedName name="ubigeos">#REF!</definedName>
    <definedName name="via">#REF!</definedName>
    <definedName name="vias">#REF!</definedName>
    <definedName name="viass">#REF!</definedName>
    <definedName name="ZON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6" i="1" l="1"/>
  <c r="L17" i="1"/>
  <c r="L18" i="1"/>
  <c r="L19" i="1"/>
  <c r="L25" i="1"/>
  <c r="L26" i="1"/>
  <c r="L27" i="1"/>
  <c r="H21" i="1"/>
  <c r="L21" i="1" s="1"/>
  <c r="P21" i="1"/>
  <c r="H20" i="1"/>
  <c r="T20" i="1" s="1"/>
  <c r="P20" i="1"/>
  <c r="H18" i="1"/>
  <c r="O18" i="1" s="1"/>
  <c r="H16" i="1"/>
  <c r="N16" i="1" s="1"/>
  <c r="P16" i="1"/>
  <c r="H17" i="1"/>
  <c r="J17" i="1" s="1"/>
  <c r="P17" i="1"/>
  <c r="H19" i="1"/>
  <c r="T19" i="1" s="1"/>
  <c r="P19" i="1"/>
  <c r="H22" i="1"/>
  <c r="O22" i="1" s="1"/>
  <c r="P22" i="1"/>
  <c r="L22" i="1"/>
  <c r="H23" i="1"/>
  <c r="J23" i="1" s="1"/>
  <c r="P23" i="1"/>
  <c r="H24" i="1"/>
  <c r="L24" i="1" s="1"/>
  <c r="P24" i="1"/>
  <c r="H25" i="1"/>
  <c r="P25" i="1" s="1"/>
  <c r="H26" i="1"/>
  <c r="O26" i="1" s="1"/>
  <c r="P26" i="1"/>
  <c r="H27" i="1"/>
  <c r="O27" i="1" s="1"/>
  <c r="J24" i="1"/>
  <c r="G28" i="1"/>
  <c r="I28" i="1"/>
  <c r="J19" i="1"/>
  <c r="J22" i="1"/>
  <c r="J16" i="1"/>
  <c r="S16" i="1"/>
  <c r="T16" i="1"/>
  <c r="S25" i="1"/>
  <c r="T24" i="1"/>
  <c r="S24" i="1"/>
  <c r="T22" i="1"/>
  <c r="S22" i="1"/>
  <c r="U22" i="1" s="1"/>
  <c r="T21" i="1"/>
  <c r="T17" i="1"/>
  <c r="S17" i="1"/>
  <c r="U17" i="1" s="1"/>
  <c r="O24" i="1"/>
  <c r="O16" i="1"/>
  <c r="O17" i="1" l="1"/>
  <c r="N24" i="1"/>
  <c r="L23" i="1"/>
  <c r="N17" i="1" a="1"/>
  <c r="N17" i="1" s="1"/>
  <c r="O19" i="1"/>
  <c r="O25" i="1"/>
  <c r="N19" i="1"/>
  <c r="N20" i="1"/>
  <c r="N21" i="1"/>
  <c r="N22" i="1"/>
  <c r="Q22" i="1" s="1"/>
  <c r="R22" i="1" s="1"/>
  <c r="N25" i="1"/>
  <c r="Q25" i="1" s="1"/>
  <c r="U16" i="1"/>
  <c r="P18" i="1"/>
  <c r="J20" i="1"/>
  <c r="O20" i="1"/>
  <c r="O21" i="1"/>
  <c r="S19" i="1"/>
  <c r="U19" i="1" s="1"/>
  <c r="S21" i="1"/>
  <c r="U21" i="1" s="1"/>
  <c r="J21" i="1"/>
  <c r="U24" i="1"/>
  <c r="S26" i="1"/>
  <c r="Q19" i="1"/>
  <c r="R19" i="1" s="1"/>
  <c r="P27" i="1"/>
  <c r="T25" i="1"/>
  <c r="U25" i="1" s="1"/>
  <c r="J25" i="1"/>
  <c r="Q24" i="1"/>
  <c r="R24" i="1" s="1"/>
  <c r="H28" i="1"/>
  <c r="Q17" i="1"/>
  <c r="R17" i="1" s="1"/>
  <c r="T26" i="1"/>
  <c r="J18" i="1"/>
  <c r="L20" i="1"/>
  <c r="Q16" i="1"/>
  <c r="R16" i="1" s="1"/>
  <c r="S27" i="1"/>
  <c r="N26" i="1"/>
  <c r="Q26" i="1" s="1"/>
  <c r="T23" i="1"/>
  <c r="T27" i="1"/>
  <c r="J26" i="1"/>
  <c r="T18" i="1"/>
  <c r="O23" i="1"/>
  <c r="S23" i="1"/>
  <c r="J27" i="1"/>
  <c r="N27" i="1"/>
  <c r="S20" i="1"/>
  <c r="U20" i="1" s="1"/>
  <c r="S18" i="1"/>
  <c r="N23" i="1"/>
  <c r="N18" i="1"/>
  <c r="O28" i="1" l="1"/>
  <c r="Q21" i="1"/>
  <c r="R21" i="1" s="1"/>
  <c r="Q20" i="1"/>
  <c r="R20" i="1" s="1"/>
  <c r="P28" i="1"/>
  <c r="U23" i="1"/>
  <c r="Q18" i="1"/>
  <c r="R18" i="1" s="1"/>
  <c r="U18" i="1"/>
  <c r="L28" i="1"/>
  <c r="E16" i="3" s="1"/>
  <c r="Q27" i="1"/>
  <c r="R27" i="1" s="1"/>
  <c r="R26" i="1"/>
  <c r="R25" i="1"/>
  <c r="T28" i="1"/>
  <c r="D12" i="3" s="1"/>
  <c r="U26" i="1"/>
  <c r="Q23" i="1"/>
  <c r="R23" i="1" s="1"/>
  <c r="U27" i="1"/>
  <c r="N28" i="1"/>
  <c r="E23" i="3" s="1"/>
  <c r="G21" i="3" s="1"/>
  <c r="J28" i="1"/>
  <c r="E9" i="3" s="1"/>
  <c r="S28" i="1"/>
  <c r="E17" i="3" l="1"/>
  <c r="U28" i="1"/>
  <c r="R28" i="1"/>
  <c r="E20" i="3" s="1"/>
  <c r="G19" i="3" s="1"/>
  <c r="Q28" i="1"/>
  <c r="E15" i="3"/>
  <c r="D11" i="3"/>
  <c r="E10" i="3" s="1"/>
  <c r="F8" i="3" s="1"/>
  <c r="G13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<sst xmlns="http://schemas.openxmlformats.org/spreadsheetml/2006/main" count="105" uniqueCount="75">
  <si>
    <t>TOTALES S/.</t>
  </si>
  <si>
    <t>SI</t>
  </si>
  <si>
    <t>NO</t>
  </si>
  <si>
    <t>PRIMA SEGURO</t>
  </si>
  <si>
    <t>COMISIÓN % SOBRE R.A.</t>
  </si>
  <si>
    <t>PROFUTURO</t>
  </si>
  <si>
    <t>INTEGRA</t>
  </si>
  <si>
    <t>PRIMA</t>
  </si>
  <si>
    <t>APORTE OBLIGATORIO</t>
  </si>
  <si>
    <t>TOTAL APORTES</t>
  </si>
  <si>
    <t>SCTR</t>
  </si>
  <si>
    <t>SALUD</t>
  </si>
  <si>
    <t>TOTAL DESCUENTO</t>
  </si>
  <si>
    <t>SISTEMA PRIVADO DE PENSIONES - AFP</t>
  </si>
  <si>
    <t>ASIGNACIÓN FAMILIAR</t>
  </si>
  <si>
    <t>SUELDO BÁSICO</t>
  </si>
  <si>
    <t>CARGO U OCUPACIÓN</t>
  </si>
  <si>
    <t>APELLIDOS Y NOMBRES</t>
  </si>
  <si>
    <t>ORDEN</t>
  </si>
  <si>
    <t>APORTACIONES DEL EMPLEADOR</t>
  </si>
  <si>
    <t>REMUNERACIÓN NETA</t>
  </si>
  <si>
    <t>RETENCIONES  A  CARGO  DEL  TRABAJADOR</t>
  </si>
  <si>
    <t>TOTAL REMUNERACIÓN BRUTA</t>
  </si>
  <si>
    <t>INGRESOS DEL TRABAJADOR</t>
  </si>
  <si>
    <t>RUC:</t>
  </si>
  <si>
    <t>PERIODO:</t>
  </si>
  <si>
    <t>CONDICIONES</t>
  </si>
  <si>
    <t>DENOMINACIÓN O RAZÓN SOCIAL:</t>
  </si>
  <si>
    <t>PRIMA DE SEGURO</t>
  </si>
  <si>
    <t>OTROS</t>
  </si>
  <si>
    <t>CÓDIGO</t>
  </si>
  <si>
    <t>PLANILLA DE REMUNERACIONES</t>
  </si>
  <si>
    <t>RMV</t>
  </si>
  <si>
    <t>JHINSON DURAN</t>
  </si>
  <si>
    <t>JESSICA PAOLA HERRERA ERAZO</t>
  </si>
  <si>
    <t>DAVID CABALLERO NARANJO</t>
  </si>
  <si>
    <t>JOHEL CALUNA</t>
  </si>
  <si>
    <t>CATALINA LOGROÑO SATAN</t>
  </si>
  <si>
    <t>NANCY GABRIELA PANCHI UMAGINGA</t>
  </si>
  <si>
    <t>MERCEDES LLANOS</t>
  </si>
  <si>
    <t>MARIA FERNANDA MOLINA</t>
  </si>
  <si>
    <t>PAULINA ESCOBAR PASTE</t>
  </si>
  <si>
    <t>GERENTE GENERAL</t>
  </si>
  <si>
    <t>ADMINISTRADOR</t>
  </si>
  <si>
    <t>CONTADOR</t>
  </si>
  <si>
    <t>CAJERO</t>
  </si>
  <si>
    <t>AUX. CONTABLE</t>
  </si>
  <si>
    <t>AUX. DE CAJA</t>
  </si>
  <si>
    <t>VENDEDOR</t>
  </si>
  <si>
    <t>A. Familiar</t>
  </si>
  <si>
    <t>SNP / ONP</t>
  </si>
  <si>
    <t>APF</t>
  </si>
  <si>
    <t>SNP/ ONP</t>
  </si>
  <si>
    <t>ESSALUD</t>
  </si>
  <si>
    <t>GASTOS DE PERSONAL, DIRECTORES Y GERENTES</t>
  </si>
  <si>
    <t>REMUNERACIONES</t>
  </si>
  <si>
    <t xml:space="preserve">SEGURIDAD Y PREVISIÓN SOCIAL Y OTRAS CONTRIBUCIONES </t>
  </si>
  <si>
    <t>RÉGIMEN DE PRESTACIONES DE SALUD</t>
  </si>
  <si>
    <t>SEGURO COMPLEMENTARIO DE TRABAJO DE RIESGO, ACCIDENTES DE TRABAJO Y ENFERMEDADES PROFESIONALES</t>
  </si>
  <si>
    <t>TRIBUTOS Y APORTES AL SISTEMA DE PENSIONES Y DE SALUD POR PAGAR</t>
  </si>
  <si>
    <t>INSTITUCIONES PÚBLICAS</t>
  </si>
  <si>
    <t>ONP</t>
  </si>
  <si>
    <t>REMUNERACIONES Y PARTICIPACIONES POR PAGAR</t>
  </si>
  <si>
    <t>REMUNERACIONES POR PAGAR</t>
  </si>
  <si>
    <t>CUENTAS POR PAGAR DIVERSAS – TERCEROS</t>
  </si>
  <si>
    <t>OTRAS CUENTAS POR PAGAR DIVERSAS</t>
  </si>
  <si>
    <t>AFP</t>
  </si>
  <si>
    <t>OTRAS INSTITUCIONES</t>
  </si>
  <si>
    <t>----------------------------------- X -------------------------------------</t>
  </si>
  <si>
    <t>ASIENTO CONTABLE - PCGE</t>
  </si>
  <si>
    <t>31/01 Por la provisión de la planilla de remuneraciones</t>
  </si>
  <si>
    <t>DEBE</t>
  </si>
  <si>
    <t>HABER</t>
  </si>
  <si>
    <t>HABITAT</t>
  </si>
  <si>
    <t>Comisiones y Primas actualizadas a Abril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</si>
</sst>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00%"/>
    <numFmt numFmtId="166" formatCode="0#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sz val="9"/>
      <name val="Century Gothic"/>
      <family val="2"/>
    </font>
    <font>
      <b/>
      <sz val="9"/>
      <name val="Century Gothic"/>
      <family val="2"/>
    </font>
    <font>
      <i/>
      <sz val="9"/>
      <name val="Century Gothic"/>
      <family val="2"/>
    </font>
    <font>
      <sz val="8"/>
      <name val="Century Gothic"/>
      <family val="2"/>
    </font>
    <font>
      <b/>
      <sz val="8"/>
      <name val="Century Gothic"/>
      <family val="2"/>
    </font>
    <font>
      <b/>
      <sz val="16"/>
      <name val="Century Gothic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9"/>
      <color rgb="FF002060"/>
      <name val="Century Gothic"/>
      <family val="2"/>
    </font>
    <font>
      <b/>
      <sz val="20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9"/>
      <color theme="0"/>
      <name val="Century Gothic"/>
      <family val="2"/>
    </font>
    <font>
      <b/>
      <sz val="8"/>
      <color theme="0"/>
      <name val="Century Gothic"/>
      <family val="2"/>
    </font>
    <font>
      <b/>
      <sz val="9"/>
      <color theme="0"/>
      <name val="Century Gothic"/>
      <family val="2"/>
    </font>
    <font>
      <b/>
      <i/>
      <sz val="9"/>
      <name val="Century Gothic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/>
    <xf numFmtId="0" fontId="2" fillId="0" borderId="0" applyFon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164" fontId="10" fillId="0" borderId="0" applyFont="0" applyFill="0" applyBorder="0" applyAlignment="0" applyProtection="0"/>
    <xf numFmtId="0" fontId="2" fillId="0" borderId="0"/>
    <xf numFmtId="0" fontId="2" fillId="0" borderId="0"/>
    <xf numFmtId="9" fontId="10" fillId="0" borderId="0" applyFont="0" applyFill="0" applyBorder="0" applyAlignment="0" applyProtection="0"/>
    <xf numFmtId="0" fontId="1" fillId="0" borderId="0"/>
    <xf numFmtId="0" fontId="14" fillId="0" borderId="0"/>
  </cellStyleXfs>
  <cellXfs count="78">
    <xf numFmtId="0" fontId="0" fillId="0" borderId="0" xfId="0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49" fontId="5" fillId="0" borderId="0" xfId="0" applyNumberFormat="1" applyFont="1" applyAlignment="1">
      <alignment vertical="center"/>
    </xf>
    <xf numFmtId="164" fontId="3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164" fontId="3" fillId="0" borderId="0" xfId="3" applyFont="1" applyFill="1" applyBorder="1" applyAlignment="1">
      <alignment vertical="center"/>
    </xf>
    <xf numFmtId="10" fontId="3" fillId="0" borderId="1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7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1" fillId="0" borderId="3" xfId="2" applyFill="1" applyBorder="1" applyAlignment="1" applyProtection="1">
      <alignment vertical="center"/>
    </xf>
    <xf numFmtId="0" fontId="6" fillId="0" borderId="1" xfId="0" applyFont="1" applyBorder="1" applyAlignment="1">
      <alignment vertical="center"/>
    </xf>
    <xf numFmtId="9" fontId="3" fillId="0" borderId="1" xfId="0" applyNumberFormat="1" applyFont="1" applyBorder="1" applyAlignment="1">
      <alignment horizontal="center" vertical="center"/>
    </xf>
    <xf numFmtId="0" fontId="9" fillId="0" borderId="0" xfId="4" applyFont="1" applyAlignment="1">
      <alignment horizontal="left"/>
    </xf>
    <xf numFmtId="0" fontId="9" fillId="0" borderId="0" xfId="4" applyFont="1"/>
    <xf numFmtId="0" fontId="2" fillId="0" borderId="0" xfId="4" applyAlignment="1">
      <alignment horizontal="left"/>
    </xf>
    <xf numFmtId="0" fontId="2" fillId="0" borderId="0" xfId="4"/>
    <xf numFmtId="0" fontId="2" fillId="0" borderId="0" xfId="4" applyAlignment="1">
      <alignment wrapText="1"/>
    </xf>
    <xf numFmtId="0" fontId="2" fillId="0" borderId="0" xfId="4" applyAlignment="1">
      <alignment horizontal="left" vertical="center"/>
    </xf>
    <xf numFmtId="164" fontId="0" fillId="0" borderId="0" xfId="0" applyNumberFormat="1"/>
    <xf numFmtId="0" fontId="9" fillId="0" borderId="0" xfId="4" applyFont="1" applyAlignment="1">
      <alignment wrapText="1"/>
    </xf>
    <xf numFmtId="0" fontId="9" fillId="0" borderId="0" xfId="4" applyFont="1" applyAlignment="1">
      <alignment horizontal="left" vertical="center"/>
    </xf>
    <xf numFmtId="0" fontId="0" fillId="0" borderId="7" xfId="0" applyBorder="1"/>
    <xf numFmtId="164" fontId="0" fillId="0" borderId="7" xfId="0" applyNumberFormat="1" applyBorder="1"/>
    <xf numFmtId="0" fontId="11" fillId="0" borderId="0" xfId="2" applyFill="1" applyBorder="1" applyAlignment="1" applyProtection="1">
      <alignment vertical="center"/>
    </xf>
    <xf numFmtId="0" fontId="12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0" fillId="0" borderId="8" xfId="0" applyBorder="1"/>
    <xf numFmtId="0" fontId="16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 wrapText="1"/>
    </xf>
    <xf numFmtId="164" fontId="4" fillId="3" borderId="1" xfId="3" applyFont="1" applyFill="1" applyBorder="1" applyAlignment="1">
      <alignment vertical="center"/>
    </xf>
    <xf numFmtId="9" fontId="4" fillId="3" borderId="1" xfId="0" applyNumberFormat="1" applyFont="1" applyFill="1" applyBorder="1" applyAlignment="1">
      <alignment horizontal="center" vertical="center"/>
    </xf>
    <xf numFmtId="9" fontId="4" fillId="3" borderId="1" xfId="3" applyNumberFormat="1" applyFont="1" applyFill="1" applyBorder="1" applyAlignment="1">
      <alignment horizontal="center" vertical="center"/>
    </xf>
    <xf numFmtId="10" fontId="4" fillId="3" borderId="1" xfId="6" applyNumberFormat="1" applyFont="1" applyFill="1" applyBorder="1" applyAlignment="1">
      <alignment horizontal="center" vertical="center"/>
    </xf>
    <xf numFmtId="166" fontId="3" fillId="4" borderId="4" xfId="0" applyNumberFormat="1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center" vertical="center"/>
    </xf>
    <xf numFmtId="164" fontId="3" fillId="4" borderId="4" xfId="3" applyFont="1" applyFill="1" applyBorder="1" applyAlignment="1">
      <alignment vertical="center"/>
    </xf>
    <xf numFmtId="166" fontId="3" fillId="4" borderId="5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164" fontId="3" fillId="4" borderId="5" xfId="3" applyFont="1" applyFill="1" applyBorder="1" applyAlignment="1">
      <alignment vertical="center"/>
    </xf>
    <xf numFmtId="0" fontId="3" fillId="4" borderId="5" xfId="0" applyFont="1" applyFill="1" applyBorder="1" applyAlignment="1">
      <alignment vertical="center"/>
    </xf>
    <xf numFmtId="166" fontId="3" fillId="4" borderId="6" xfId="0" applyNumberFormat="1" applyFont="1" applyFill="1" applyBorder="1" applyAlignment="1">
      <alignment horizontal="center" vertical="center"/>
    </xf>
    <xf numFmtId="0" fontId="3" fillId="4" borderId="6" xfId="0" applyFont="1" applyFill="1" applyBorder="1" applyAlignment="1">
      <alignment vertical="center"/>
    </xf>
    <xf numFmtId="0" fontId="3" fillId="4" borderId="6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center" vertical="center"/>
    </xf>
    <xf numFmtId="164" fontId="3" fillId="4" borderId="6" xfId="3" applyFont="1" applyFill="1" applyBorder="1" applyAlignment="1">
      <alignment vertical="center"/>
    </xf>
    <xf numFmtId="164" fontId="4" fillId="4" borderId="1" xfId="3" applyFont="1" applyFill="1" applyBorder="1" applyAlignment="1">
      <alignment vertical="center"/>
    </xf>
    <xf numFmtId="0" fontId="19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 wrapText="1"/>
    </xf>
    <xf numFmtId="0" fontId="18" fillId="2" borderId="8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vertical="center" textRotation="90" wrapText="1"/>
    </xf>
    <xf numFmtId="0" fontId="18" fillId="2" borderId="7" xfId="0" applyFont="1" applyFill="1" applyBorder="1" applyAlignment="1">
      <alignment horizontal="center" vertical="center" textRotation="90" wrapText="1"/>
    </xf>
    <xf numFmtId="0" fontId="18" fillId="2" borderId="8" xfId="0" applyFont="1" applyFill="1" applyBorder="1" applyAlignment="1">
      <alignment horizontal="center" vertical="center" textRotation="90" wrapText="1"/>
    </xf>
    <xf numFmtId="0" fontId="18" fillId="2" borderId="9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18" fillId="2" borderId="2" xfId="0" applyNumberFormat="1" applyFont="1" applyFill="1" applyBorder="1" applyAlignment="1">
      <alignment horizontal="center" vertical="center" wrapText="1"/>
    </xf>
    <xf numFmtId="49" fontId="18" fillId="2" borderId="8" xfId="0" applyNumberFormat="1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 wrapText="1"/>
    </xf>
    <xf numFmtId="0" fontId="18" fillId="2" borderId="12" xfId="0" applyFont="1" applyFill="1" applyBorder="1" applyAlignment="1">
      <alignment horizontal="center" vertical="center" wrapText="1"/>
    </xf>
    <xf numFmtId="0" fontId="18" fillId="2" borderId="13" xfId="0" applyFont="1" applyFill="1" applyBorder="1" applyAlignment="1">
      <alignment horizontal="center" vertical="center" wrapText="1"/>
    </xf>
    <xf numFmtId="0" fontId="18" fillId="2" borderId="14" xfId="0" applyFont="1" applyFill="1" applyBorder="1" applyAlignment="1">
      <alignment horizontal="center" vertical="center" wrapText="1"/>
    </xf>
    <xf numFmtId="0" fontId="18" fillId="2" borderId="15" xfId="0" applyFont="1" applyFill="1" applyBorder="1" applyAlignment="1">
      <alignment horizontal="center" vertical="center" wrapText="1"/>
    </xf>
    <xf numFmtId="0" fontId="18" fillId="2" borderId="16" xfId="0" applyFont="1" applyFill="1" applyBorder="1" applyAlignment="1">
      <alignment horizontal="center" vertical="center" wrapText="1"/>
    </xf>
    <xf numFmtId="0" fontId="0" fillId="0" borderId="0" xfId="0" quotePrefix="1" applyAlignment="1">
      <alignment horizontal="center"/>
    </xf>
    <xf numFmtId="0" fontId="13" fillId="0" borderId="0" xfId="0" applyFont="1" applyAlignment="1">
      <alignment horizontal="center" vertical="center" textRotation="90"/>
    </xf>
  </cellXfs>
  <cellStyles count="9">
    <cellStyle name="Euro" xfId="1" xr:uid="{404D9E37-A467-42EE-90B1-83B12CCFE967}"/>
    <cellStyle name="Hipervínculo" xfId="2" builtinId="8"/>
    <cellStyle name="Millares" xfId="3" builtinId="3"/>
    <cellStyle name="Normal" xfId="0" builtinId="0"/>
    <cellStyle name="Normal 2" xfId="4" xr:uid="{AC5FC984-6399-49BA-8959-C5BED177DEFF}"/>
    <cellStyle name="Normal 3" xfId="5" xr:uid="{9D09375E-5E6F-472B-855C-95F0CF54E5B0}"/>
    <cellStyle name="Normal 3 2" xfId="8" xr:uid="{C1E35F16-A2E1-4628-A13E-25D8FD0A5D24}"/>
    <cellStyle name="Normal 4" xfId="7" xr:uid="{1D0F1C29-3180-43DA-B6D8-C226891D29F7}"/>
    <cellStyle name="Porcentaje" xfId="6" builtinId="5"/>
  </cellStyles>
  <dxfs count="2">
    <dxf>
      <font>
        <color theme="1"/>
      </font>
      <fill>
        <patternFill>
          <bgColor rgb="FFFFFF00"/>
        </patternFill>
      </fill>
    </dxf>
    <dxf>
      <font>
        <color theme="0"/>
      </font>
      <numFmt numFmtId="0" formatCode="General"/>
      <fill>
        <patternFill patternType="none"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DD26-0642-4EF7-B582-C221D3C6F810}">
  <sheetPr codeName="Hoja1"/>
  <dimension ref="F3:G4"/>
  <sheetViews>
    <sheetView workbookViewId="0">
      <selection activeCell="C6" sqref="C6"/>
    </sheetView>
  </sheetViews>
  <sheetFormatPr baseColWidth="10" defaultRowHeight="14.3" x14ac:dyDescent="0.25"/>
  <cols>
    <col min="1" max="1" width="3.125" customWidth="1"/>
  </cols>
  <sheetData>
    <row r="3" spans="6:7" x14ac:dyDescent="0.25">
      <c r="F3" s="56" t="s">
        <v>26</v>
      </c>
      <c r="G3" s="56"/>
    </row>
    <row r="4" spans="6:7" x14ac:dyDescent="0.25">
      <c r="F4" s="1" t="s">
        <v>1</v>
      </c>
      <c r="G4" s="1" t="s">
        <v>2</v>
      </c>
    </row>
  </sheetData>
  <mergeCells count="1">
    <mergeCell ref="F3: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F8823-6A20-4832-81B0-7C3F9D563626}">
  <sheetPr codeName="Hoja2"/>
  <dimension ref="B2:V30"/>
  <sheetViews>
    <sheetView showGridLines="0" zoomScaleNormal="100" workbookViewId="0">
      <pane ySplit="15" topLeftCell="A16" activePane="bottomLeft" state="frozen"/>
      <selection pane="bottomLeft" activeCell="Z4" sqref="Z4"/>
    </sheetView>
  </sheetViews>
  <sheetFormatPr baseColWidth="10" defaultColWidth="11.5" defaultRowHeight="12.25" x14ac:dyDescent="0.25"/>
  <cols>
    <col min="1" max="1" width="2.875" style="3" customWidth="1"/>
    <col min="2" max="2" width="3.875" style="3" customWidth="1"/>
    <col min="3" max="3" width="11.375" style="3" customWidth="1"/>
    <col min="4" max="4" width="33.5" style="3" bestFit="1" customWidth="1"/>
    <col min="5" max="5" width="22.375" style="3" customWidth="1"/>
    <col min="6" max="6" width="11.5" style="3" customWidth="1"/>
    <col min="7" max="7" width="11.375" style="3" customWidth="1"/>
    <col min="8" max="8" width="12" style="3" customWidth="1"/>
    <col min="9" max="9" width="7.5" style="3" bestFit="1" customWidth="1"/>
    <col min="10" max="10" width="14.375" style="3" customWidth="1"/>
    <col min="11" max="11" width="6.375" style="3" customWidth="1"/>
    <col min="12" max="12" width="7.375" style="3" bestFit="1" customWidth="1"/>
    <col min="13" max="13" width="10.625" style="3" bestFit="1" customWidth="1"/>
    <col min="14" max="15" width="12.375" style="3" customWidth="1"/>
    <col min="16" max="16" width="11" style="3" customWidth="1"/>
    <col min="17" max="17" width="11.5" style="3"/>
    <col min="18" max="18" width="14.5" style="3" customWidth="1"/>
    <col min="19" max="19" width="10.875" style="3" customWidth="1"/>
    <col min="20" max="20" width="9.875" style="3" customWidth="1"/>
    <col min="21" max="21" width="11.5" style="3" customWidth="1"/>
    <col min="22" max="22" width="2.5" style="3" customWidth="1"/>
    <col min="23" max="16384" width="11.5" style="3"/>
  </cols>
  <sheetData>
    <row r="2" spans="2:22" x14ac:dyDescent="0.25">
      <c r="C2" s="13" t="s">
        <v>32</v>
      </c>
      <c r="E2" s="32"/>
      <c r="F2" s="33" t="s">
        <v>52</v>
      </c>
      <c r="G2" s="33" t="s">
        <v>7</v>
      </c>
      <c r="H2" s="33" t="s">
        <v>73</v>
      </c>
      <c r="I2" s="33" t="s">
        <v>6</v>
      </c>
      <c r="J2" s="33" t="s">
        <v>5</v>
      </c>
      <c r="N2" s="13" t="s">
        <v>53</v>
      </c>
    </row>
    <row r="3" spans="2:22" ht="14.3" x14ac:dyDescent="0.25">
      <c r="C3" s="36">
        <v>1130</v>
      </c>
      <c r="D3" s="14"/>
      <c r="E3" s="15" t="s">
        <v>8</v>
      </c>
      <c r="F3" s="16">
        <v>0.13</v>
      </c>
      <c r="G3" s="10">
        <v>0.1</v>
      </c>
      <c r="H3" s="10">
        <v>0.1</v>
      </c>
      <c r="I3" s="10">
        <v>0.1</v>
      </c>
      <c r="J3" s="10">
        <v>0.1</v>
      </c>
      <c r="N3" s="38">
        <v>0.09</v>
      </c>
    </row>
    <row r="4" spans="2:22" ht="12.9" x14ac:dyDescent="0.25">
      <c r="C4" s="13" t="s">
        <v>49</v>
      </c>
      <c r="E4" s="15" t="s">
        <v>4</v>
      </c>
      <c r="F4" s="2"/>
      <c r="G4" s="10">
        <v>1.6E-2</v>
      </c>
      <c r="H4" s="10">
        <v>1.47E-2</v>
      </c>
      <c r="I4" s="10">
        <v>1.55E-2</v>
      </c>
      <c r="J4" s="10">
        <v>1.6899999999999998E-2</v>
      </c>
      <c r="N4" s="13" t="s">
        <v>10</v>
      </c>
    </row>
    <row r="5" spans="2:22" ht="12.9" x14ac:dyDescent="0.25">
      <c r="C5" s="37">
        <v>0.1</v>
      </c>
      <c r="E5" s="15" t="s">
        <v>3</v>
      </c>
      <c r="F5" s="2"/>
      <c r="G5" s="10">
        <v>1.37E-2</v>
      </c>
      <c r="H5" s="10">
        <v>1.37E-2</v>
      </c>
      <c r="I5" s="10">
        <v>1.37E-2</v>
      </c>
      <c r="J5" s="10">
        <v>1.37E-2</v>
      </c>
      <c r="N5" s="39">
        <v>1.2500000000000001E-2</v>
      </c>
    </row>
    <row r="6" spans="2:22" x14ac:dyDescent="0.25">
      <c r="C6" s="13"/>
      <c r="E6" s="55" t="s">
        <v>74</v>
      </c>
    </row>
    <row r="7" spans="2:22" x14ac:dyDescent="0.25">
      <c r="C7" s="13"/>
      <c r="E7" s="55"/>
    </row>
    <row r="8" spans="2:22" ht="12.75" customHeight="1" x14ac:dyDescent="0.25">
      <c r="B8" s="67" t="s">
        <v>31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4"/>
    </row>
    <row r="9" spans="2:22" x14ac:dyDescent="0.25">
      <c r="B9" s="4" t="s">
        <v>25</v>
      </c>
      <c r="C9" s="4"/>
      <c r="D9" s="4"/>
      <c r="E9" s="4"/>
      <c r="F9" s="4"/>
      <c r="G9" s="4"/>
      <c r="H9" s="8"/>
      <c r="I9" s="5"/>
      <c r="R9" s="6"/>
      <c r="S9" s="6"/>
    </row>
    <row r="10" spans="2:22" x14ac:dyDescent="0.25">
      <c r="B10" s="4" t="s">
        <v>24</v>
      </c>
      <c r="C10" s="4"/>
      <c r="D10" s="4"/>
      <c r="E10" s="29"/>
      <c r="F10" s="4"/>
      <c r="G10" s="4"/>
      <c r="H10" s="8"/>
      <c r="I10" s="7"/>
    </row>
    <row r="11" spans="2:22" ht="14.3" x14ac:dyDescent="0.25">
      <c r="B11" s="4" t="s">
        <v>27</v>
      </c>
      <c r="C11" s="4"/>
      <c r="D11" s="4"/>
      <c r="E11" s="28"/>
      <c r="F11" s="4"/>
      <c r="G11" s="4"/>
      <c r="H11" s="8"/>
      <c r="I11" s="7"/>
      <c r="J11" s="4"/>
      <c r="K11" s="4"/>
      <c r="L11" s="8"/>
      <c r="M11" s="8"/>
    </row>
    <row r="12" spans="2:22" ht="8.35" customHeight="1" x14ac:dyDescent="0.25">
      <c r="B12" s="8"/>
      <c r="C12" s="8"/>
      <c r="D12" s="8"/>
      <c r="E12" s="8"/>
      <c r="F12" s="8"/>
      <c r="G12" s="8"/>
      <c r="H12" s="8"/>
      <c r="I12" s="7"/>
      <c r="J12" s="4"/>
      <c r="K12" s="4"/>
      <c r="L12" s="8"/>
      <c r="M12" s="8"/>
    </row>
    <row r="13" spans="2:22" ht="24.8" customHeight="1" x14ac:dyDescent="0.25">
      <c r="B13" s="61" t="s">
        <v>18</v>
      </c>
      <c r="C13" s="61" t="s">
        <v>30</v>
      </c>
      <c r="D13" s="58" t="s">
        <v>17</v>
      </c>
      <c r="E13" s="58" t="s">
        <v>16</v>
      </c>
      <c r="F13" s="58" t="s">
        <v>14</v>
      </c>
      <c r="G13" s="64" t="s">
        <v>23</v>
      </c>
      <c r="H13" s="65"/>
      <c r="I13" s="66"/>
      <c r="J13" s="58" t="s">
        <v>22</v>
      </c>
      <c r="K13" s="70" t="s">
        <v>21</v>
      </c>
      <c r="L13" s="70"/>
      <c r="M13" s="70"/>
      <c r="N13" s="70"/>
      <c r="O13" s="70"/>
      <c r="P13" s="70"/>
      <c r="Q13" s="70"/>
      <c r="R13" s="58" t="s">
        <v>20</v>
      </c>
      <c r="S13" s="64" t="s">
        <v>19</v>
      </c>
      <c r="T13" s="65"/>
      <c r="U13" s="66"/>
      <c r="V13" s="12"/>
    </row>
    <row r="14" spans="2:22" ht="27.7" customHeight="1" x14ac:dyDescent="0.25">
      <c r="B14" s="62"/>
      <c r="C14" s="62"/>
      <c r="D14" s="60"/>
      <c r="E14" s="60"/>
      <c r="F14" s="60"/>
      <c r="G14" s="58" t="s">
        <v>15</v>
      </c>
      <c r="H14" s="58" t="s">
        <v>14</v>
      </c>
      <c r="I14" s="58" t="s">
        <v>29</v>
      </c>
      <c r="J14" s="60"/>
      <c r="K14" s="71" t="s">
        <v>50</v>
      </c>
      <c r="L14" s="72"/>
      <c r="M14" s="71" t="s">
        <v>13</v>
      </c>
      <c r="N14" s="75"/>
      <c r="O14" s="75"/>
      <c r="P14" s="72"/>
      <c r="Q14" s="60" t="s">
        <v>12</v>
      </c>
      <c r="R14" s="60"/>
      <c r="S14" s="58" t="s">
        <v>11</v>
      </c>
      <c r="T14" s="68" t="s">
        <v>10</v>
      </c>
      <c r="U14" s="58" t="s">
        <v>9</v>
      </c>
      <c r="V14" s="12"/>
    </row>
    <row r="15" spans="2:22" ht="36.700000000000003" customHeight="1" x14ac:dyDescent="0.25">
      <c r="B15" s="63"/>
      <c r="C15" s="63"/>
      <c r="D15" s="59"/>
      <c r="E15" s="59"/>
      <c r="F15" s="59"/>
      <c r="G15" s="59"/>
      <c r="H15" s="59"/>
      <c r="I15" s="59"/>
      <c r="J15" s="59"/>
      <c r="K15" s="73"/>
      <c r="L15" s="74"/>
      <c r="M15" s="35" t="s">
        <v>51</v>
      </c>
      <c r="N15" s="34" t="s">
        <v>8</v>
      </c>
      <c r="O15" s="34" t="s">
        <v>4</v>
      </c>
      <c r="P15" s="34" t="s">
        <v>28</v>
      </c>
      <c r="Q15" s="59"/>
      <c r="R15" s="59"/>
      <c r="S15" s="59"/>
      <c r="T15" s="69"/>
      <c r="U15" s="59"/>
      <c r="V15" s="12"/>
    </row>
    <row r="16" spans="2:22" ht="14.95" customHeight="1" x14ac:dyDescent="0.25">
      <c r="B16" s="40">
        <v>1</v>
      </c>
      <c r="C16" s="40">
        <v>45457414</v>
      </c>
      <c r="D16" s="41" t="s">
        <v>33</v>
      </c>
      <c r="E16" s="41" t="s">
        <v>42</v>
      </c>
      <c r="F16" s="42" t="s">
        <v>1</v>
      </c>
      <c r="G16" s="43">
        <v>5000</v>
      </c>
      <c r="H16" s="43">
        <f>IF(AND(F16="SI",G16&lt;&gt;""),($C$3*$C$5),(0))</f>
        <v>113</v>
      </c>
      <c r="I16" s="43"/>
      <c r="J16" s="43">
        <f>SUM(G16:I16)</f>
        <v>5113</v>
      </c>
      <c r="K16" s="42" t="s">
        <v>2</v>
      </c>
      <c r="L16" s="43">
        <f>IF(K16="SI",((G16+H16)*$F$3),0)</f>
        <v>0</v>
      </c>
      <c r="M16" s="42" t="s">
        <v>7</v>
      </c>
      <c r="N16" s="43">
        <f>SUMPRODUCT(($F$2:$J$2=M16)*($F$3:$J$3))*SUM(G16:H16)</f>
        <v>511.3</v>
      </c>
      <c r="O16" s="43">
        <f>SUMPRODUCT(($F$2:$J$2=M16)*($F$4:$J$4))*SUM(G16:H16)</f>
        <v>81.808000000000007</v>
      </c>
      <c r="P16" s="43">
        <f>SUMPRODUCT(($F$2:$J$2=M16)*($F$5:$J$5))*SUM(G16:H16)</f>
        <v>70.048100000000005</v>
      </c>
      <c r="Q16" s="43">
        <f>SUM(L16:P16)</f>
        <v>663.15610000000004</v>
      </c>
      <c r="R16" s="43">
        <f>J16-Q16</f>
        <v>4449.8438999999998</v>
      </c>
      <c r="S16" s="43">
        <f>(G16+H16)*$N$3</f>
        <v>460.16999999999996</v>
      </c>
      <c r="T16" s="43">
        <f>(G16+H16)*$N$5</f>
        <v>63.912500000000001</v>
      </c>
      <c r="U16" s="43">
        <f>S16+T16</f>
        <v>524.08249999999998</v>
      </c>
      <c r="V16" s="9"/>
    </row>
    <row r="17" spans="2:22" ht="14.95" customHeight="1" x14ac:dyDescent="0.25">
      <c r="B17" s="44">
        <v>2</v>
      </c>
      <c r="C17" s="44">
        <v>45457415</v>
      </c>
      <c r="D17" s="45" t="s">
        <v>34</v>
      </c>
      <c r="E17" s="45" t="s">
        <v>43</v>
      </c>
      <c r="F17" s="46" t="s">
        <v>1</v>
      </c>
      <c r="G17" s="47">
        <v>2500</v>
      </c>
      <c r="H17" s="47">
        <f t="shared" ref="H17:H27" si="0">IF(AND(F17="SI",G17&lt;&gt;""),($C$3*$C$5),(0))</f>
        <v>113</v>
      </c>
      <c r="I17" s="47"/>
      <c r="J17" s="47">
        <f>SUM(G17:I17)</f>
        <v>2613</v>
      </c>
      <c r="K17" s="46" t="s">
        <v>2</v>
      </c>
      <c r="L17" s="47">
        <f t="shared" ref="L17:L27" si="1">IF(K17="SI",((G17+H17)*$F$3),0)</f>
        <v>0</v>
      </c>
      <c r="M17" s="42" t="s">
        <v>73</v>
      </c>
      <c r="N17" s="47" cm="1">
        <f t="array" ref="N17">SUMPRODUCT(($F$2:$J$2=M17)*($F$3:$J$3))*SUM(G17:H17)</f>
        <v>261.3</v>
      </c>
      <c r="O17" s="47">
        <f t="shared" ref="O17:O27" si="2">SUMPRODUCT(($F$2:$J$2=M17)*($F$4:$J$4))*SUM(G17:H17)</f>
        <v>38.411099999999998</v>
      </c>
      <c r="P17" s="47">
        <f t="shared" ref="P17:P27" si="3">SUMPRODUCT(($F$2:$J$2=M17)*($F$5:$J$5))*SUM(G17:H17)</f>
        <v>35.798099999999998</v>
      </c>
      <c r="Q17" s="47">
        <f t="shared" ref="Q17:Q27" si="4">SUM(L17:P17)</f>
        <v>335.50919999999996</v>
      </c>
      <c r="R17" s="47">
        <f t="shared" ref="R17:R27" si="5">J17-Q17</f>
        <v>2277.4908</v>
      </c>
      <c r="S17" s="43">
        <f t="shared" ref="S17:S27" si="6">(G17+H17)*$N$3</f>
        <v>235.17</v>
      </c>
      <c r="T17" s="43">
        <f t="shared" ref="T17:T27" si="7">(G17+H17)*$N$5</f>
        <v>32.662500000000001</v>
      </c>
      <c r="U17" s="47">
        <f t="shared" ref="U17:U27" si="8">S17+T17</f>
        <v>267.83249999999998</v>
      </c>
      <c r="V17" s="9"/>
    </row>
    <row r="18" spans="2:22" ht="14.95" customHeight="1" x14ac:dyDescent="0.25">
      <c r="B18" s="44">
        <v>3</v>
      </c>
      <c r="C18" s="44">
        <v>45457416</v>
      </c>
      <c r="D18" s="45" t="s">
        <v>35</v>
      </c>
      <c r="E18" s="45" t="s">
        <v>44</v>
      </c>
      <c r="F18" s="46" t="s">
        <v>1</v>
      </c>
      <c r="G18" s="47">
        <v>2300</v>
      </c>
      <c r="H18" s="47">
        <f>IF(AND(F18="SI",G18&lt;&gt;""),($C$3*$C$5),(0))</f>
        <v>113</v>
      </c>
      <c r="I18" s="47"/>
      <c r="J18" s="47">
        <f>SUM(G18:I18)</f>
        <v>2413</v>
      </c>
      <c r="K18" s="46" t="s">
        <v>2</v>
      </c>
      <c r="L18" s="47">
        <f t="shared" si="1"/>
        <v>0</v>
      </c>
      <c r="M18" s="42" t="s">
        <v>6</v>
      </c>
      <c r="N18" s="47">
        <f t="shared" ref="N18:N27" si="9">SUMPRODUCT(($F$2:$J$2=M18)*($F$3:$J$3))*SUM(G18:H18)</f>
        <v>241.3</v>
      </c>
      <c r="O18" s="47">
        <f t="shared" si="2"/>
        <v>37.401499999999999</v>
      </c>
      <c r="P18" s="47">
        <f t="shared" si="3"/>
        <v>33.058100000000003</v>
      </c>
      <c r="Q18" s="47">
        <f t="shared" si="4"/>
        <v>311.75960000000003</v>
      </c>
      <c r="R18" s="47">
        <f t="shared" si="5"/>
        <v>2101.2404000000001</v>
      </c>
      <c r="S18" s="43">
        <f t="shared" si="6"/>
        <v>217.17</v>
      </c>
      <c r="T18" s="43">
        <f t="shared" si="7"/>
        <v>30.162500000000001</v>
      </c>
      <c r="U18" s="47">
        <f t="shared" si="8"/>
        <v>247.33249999999998</v>
      </c>
      <c r="V18" s="9"/>
    </row>
    <row r="19" spans="2:22" ht="14.95" customHeight="1" x14ac:dyDescent="0.25">
      <c r="B19" s="44">
        <v>4</v>
      </c>
      <c r="C19" s="44">
        <v>45457417</v>
      </c>
      <c r="D19" s="45" t="s">
        <v>36</v>
      </c>
      <c r="E19" s="45" t="s">
        <v>45</v>
      </c>
      <c r="F19" s="46" t="s">
        <v>2</v>
      </c>
      <c r="G19" s="47">
        <v>2000</v>
      </c>
      <c r="H19" s="47">
        <f t="shared" si="0"/>
        <v>0</v>
      </c>
      <c r="I19" s="47"/>
      <c r="J19" s="47">
        <f t="shared" ref="J19:J27" si="10">SUM(G19:I19)</f>
        <v>2000</v>
      </c>
      <c r="K19" s="46" t="s">
        <v>2</v>
      </c>
      <c r="L19" s="47">
        <f t="shared" si="1"/>
        <v>0</v>
      </c>
      <c r="M19" s="42" t="s">
        <v>5</v>
      </c>
      <c r="N19" s="47">
        <f t="shared" si="9"/>
        <v>200</v>
      </c>
      <c r="O19" s="47">
        <f t="shared" si="2"/>
        <v>33.799999999999997</v>
      </c>
      <c r="P19" s="47">
        <f t="shared" si="3"/>
        <v>27.400000000000002</v>
      </c>
      <c r="Q19" s="47">
        <f t="shared" si="4"/>
        <v>261.2</v>
      </c>
      <c r="R19" s="47">
        <f t="shared" si="5"/>
        <v>1738.8</v>
      </c>
      <c r="S19" s="43">
        <f t="shared" si="6"/>
        <v>180</v>
      </c>
      <c r="T19" s="43">
        <f t="shared" si="7"/>
        <v>25</v>
      </c>
      <c r="U19" s="47">
        <f t="shared" si="8"/>
        <v>205</v>
      </c>
      <c r="V19" s="9"/>
    </row>
    <row r="20" spans="2:22" ht="14.95" customHeight="1" x14ac:dyDescent="0.25">
      <c r="B20" s="44">
        <v>5</v>
      </c>
      <c r="C20" s="44">
        <v>45457418</v>
      </c>
      <c r="D20" s="45" t="s">
        <v>37</v>
      </c>
      <c r="E20" s="45" t="s">
        <v>46</v>
      </c>
      <c r="F20" s="46" t="s">
        <v>1</v>
      </c>
      <c r="G20" s="47">
        <v>1500</v>
      </c>
      <c r="H20" s="47">
        <f>IF(AND(F20="SI",G20&lt;&gt;""),($C$3*$C$5),(0))</f>
        <v>113</v>
      </c>
      <c r="I20" s="47"/>
      <c r="J20" s="47">
        <f>SUM(G20:I20)</f>
        <v>1613</v>
      </c>
      <c r="K20" s="46" t="s">
        <v>1</v>
      </c>
      <c r="L20" s="47">
        <f t="shared" si="1"/>
        <v>209.69</v>
      </c>
      <c r="M20" s="46"/>
      <c r="N20" s="47">
        <f t="shared" si="9"/>
        <v>0</v>
      </c>
      <c r="O20" s="47">
        <f t="shared" si="2"/>
        <v>0</v>
      </c>
      <c r="P20" s="47">
        <f t="shared" si="3"/>
        <v>0</v>
      </c>
      <c r="Q20" s="47">
        <f t="shared" si="4"/>
        <v>209.69</v>
      </c>
      <c r="R20" s="47">
        <f t="shared" si="5"/>
        <v>1403.31</v>
      </c>
      <c r="S20" s="43">
        <f t="shared" si="6"/>
        <v>145.16999999999999</v>
      </c>
      <c r="T20" s="43">
        <f t="shared" si="7"/>
        <v>20.162500000000001</v>
      </c>
      <c r="U20" s="47">
        <f t="shared" si="8"/>
        <v>165.33249999999998</v>
      </c>
      <c r="V20" s="9"/>
    </row>
    <row r="21" spans="2:22" ht="14.95" customHeight="1" x14ac:dyDescent="0.25">
      <c r="B21" s="44">
        <v>6</v>
      </c>
      <c r="C21" s="44">
        <v>45457419</v>
      </c>
      <c r="D21" s="45" t="s">
        <v>38</v>
      </c>
      <c r="E21" s="45" t="s">
        <v>47</v>
      </c>
      <c r="F21" s="46" t="s">
        <v>2</v>
      </c>
      <c r="G21" s="47">
        <v>1000</v>
      </c>
      <c r="H21" s="47">
        <f>IF(AND(F21="SI",G21&lt;&gt;""),($C$3*$C$5),(0))</f>
        <v>0</v>
      </c>
      <c r="I21" s="47"/>
      <c r="J21" s="47">
        <f t="shared" si="10"/>
        <v>1000</v>
      </c>
      <c r="K21" s="46" t="s">
        <v>1</v>
      </c>
      <c r="L21" s="47">
        <f t="shared" si="1"/>
        <v>130</v>
      </c>
      <c r="M21" s="46"/>
      <c r="N21" s="47">
        <f t="shared" si="9"/>
        <v>0</v>
      </c>
      <c r="O21" s="47">
        <f t="shared" si="2"/>
        <v>0</v>
      </c>
      <c r="P21" s="47">
        <f t="shared" si="3"/>
        <v>0</v>
      </c>
      <c r="Q21" s="47">
        <f t="shared" si="4"/>
        <v>130</v>
      </c>
      <c r="R21" s="47">
        <f t="shared" si="5"/>
        <v>870</v>
      </c>
      <c r="S21" s="43">
        <f t="shared" si="6"/>
        <v>90</v>
      </c>
      <c r="T21" s="43">
        <f t="shared" si="7"/>
        <v>12.5</v>
      </c>
      <c r="U21" s="47">
        <f t="shared" si="8"/>
        <v>102.5</v>
      </c>
      <c r="V21" s="9"/>
    </row>
    <row r="22" spans="2:22" ht="14.95" customHeight="1" x14ac:dyDescent="0.25">
      <c r="B22" s="44">
        <v>7</v>
      </c>
      <c r="C22" s="44">
        <v>45457420</v>
      </c>
      <c r="D22" s="45" t="s">
        <v>39</v>
      </c>
      <c r="E22" s="45" t="s">
        <v>48</v>
      </c>
      <c r="F22" s="46" t="s">
        <v>1</v>
      </c>
      <c r="G22" s="47">
        <v>900</v>
      </c>
      <c r="H22" s="47">
        <f t="shared" si="0"/>
        <v>113</v>
      </c>
      <c r="I22" s="47"/>
      <c r="J22" s="47">
        <f t="shared" si="10"/>
        <v>1013</v>
      </c>
      <c r="K22" s="46" t="s">
        <v>1</v>
      </c>
      <c r="L22" s="47">
        <f t="shared" si="1"/>
        <v>131.69</v>
      </c>
      <c r="M22" s="46"/>
      <c r="N22" s="47">
        <f t="shared" si="9"/>
        <v>0</v>
      </c>
      <c r="O22" s="47">
        <f t="shared" si="2"/>
        <v>0</v>
      </c>
      <c r="P22" s="47">
        <f t="shared" si="3"/>
        <v>0</v>
      </c>
      <c r="Q22" s="47">
        <f t="shared" si="4"/>
        <v>131.69</v>
      </c>
      <c r="R22" s="47">
        <f t="shared" si="5"/>
        <v>881.31</v>
      </c>
      <c r="S22" s="43">
        <f t="shared" si="6"/>
        <v>91.17</v>
      </c>
      <c r="T22" s="43">
        <f t="shared" si="7"/>
        <v>12.662500000000001</v>
      </c>
      <c r="U22" s="47">
        <f t="shared" si="8"/>
        <v>103.83250000000001</v>
      </c>
      <c r="V22" s="9"/>
    </row>
    <row r="23" spans="2:22" ht="14.95" customHeight="1" x14ac:dyDescent="0.25">
      <c r="B23" s="44">
        <v>8</v>
      </c>
      <c r="C23" s="44">
        <v>45457421</v>
      </c>
      <c r="D23" s="45" t="s">
        <v>40</v>
      </c>
      <c r="E23" s="45" t="s">
        <v>48</v>
      </c>
      <c r="F23" s="46" t="s">
        <v>1</v>
      </c>
      <c r="G23" s="47">
        <v>900</v>
      </c>
      <c r="H23" s="47">
        <f t="shared" si="0"/>
        <v>113</v>
      </c>
      <c r="I23" s="47"/>
      <c r="J23" s="47">
        <f t="shared" si="10"/>
        <v>1013</v>
      </c>
      <c r="K23" s="46" t="s">
        <v>1</v>
      </c>
      <c r="L23" s="47">
        <f t="shared" si="1"/>
        <v>131.69</v>
      </c>
      <c r="M23" s="46"/>
      <c r="N23" s="47">
        <f t="shared" si="9"/>
        <v>0</v>
      </c>
      <c r="O23" s="47">
        <f t="shared" si="2"/>
        <v>0</v>
      </c>
      <c r="P23" s="47">
        <f t="shared" si="3"/>
        <v>0</v>
      </c>
      <c r="Q23" s="47">
        <f t="shared" si="4"/>
        <v>131.69</v>
      </c>
      <c r="R23" s="47">
        <f t="shared" si="5"/>
        <v>881.31</v>
      </c>
      <c r="S23" s="43">
        <f t="shared" si="6"/>
        <v>91.17</v>
      </c>
      <c r="T23" s="43">
        <f t="shared" si="7"/>
        <v>12.662500000000001</v>
      </c>
      <c r="U23" s="47">
        <f t="shared" si="8"/>
        <v>103.83250000000001</v>
      </c>
      <c r="V23" s="9"/>
    </row>
    <row r="24" spans="2:22" ht="14.95" customHeight="1" x14ac:dyDescent="0.25">
      <c r="B24" s="44">
        <v>9</v>
      </c>
      <c r="C24" s="44">
        <v>45457422</v>
      </c>
      <c r="D24" s="45" t="s">
        <v>41</v>
      </c>
      <c r="E24" s="45" t="s">
        <v>48</v>
      </c>
      <c r="F24" s="46" t="s">
        <v>1</v>
      </c>
      <c r="G24" s="47">
        <v>900</v>
      </c>
      <c r="H24" s="47">
        <f t="shared" si="0"/>
        <v>113</v>
      </c>
      <c r="I24" s="47"/>
      <c r="J24" s="47">
        <f>SUM(G24:I24)</f>
        <v>1013</v>
      </c>
      <c r="K24" s="46" t="s">
        <v>1</v>
      </c>
      <c r="L24" s="47">
        <f t="shared" si="1"/>
        <v>131.69</v>
      </c>
      <c r="M24" s="46"/>
      <c r="N24" s="47">
        <f t="shared" si="9"/>
        <v>0</v>
      </c>
      <c r="O24" s="47">
        <f t="shared" si="2"/>
        <v>0</v>
      </c>
      <c r="P24" s="47">
        <f t="shared" si="3"/>
        <v>0</v>
      </c>
      <c r="Q24" s="47">
        <f t="shared" si="4"/>
        <v>131.69</v>
      </c>
      <c r="R24" s="47">
        <f t="shared" si="5"/>
        <v>881.31</v>
      </c>
      <c r="S24" s="43">
        <f t="shared" si="6"/>
        <v>91.17</v>
      </c>
      <c r="T24" s="43">
        <f t="shared" si="7"/>
        <v>12.662500000000001</v>
      </c>
      <c r="U24" s="47">
        <f t="shared" si="8"/>
        <v>103.83250000000001</v>
      </c>
      <c r="V24" s="9"/>
    </row>
    <row r="25" spans="2:22" ht="14.95" customHeight="1" x14ac:dyDescent="0.25">
      <c r="B25" s="44"/>
      <c r="C25" s="44"/>
      <c r="D25" s="48"/>
      <c r="E25" s="45"/>
      <c r="F25" s="46"/>
      <c r="G25" s="47"/>
      <c r="H25" s="47">
        <f t="shared" si="0"/>
        <v>0</v>
      </c>
      <c r="I25" s="47"/>
      <c r="J25" s="47">
        <f t="shared" si="10"/>
        <v>0</v>
      </c>
      <c r="K25" s="46"/>
      <c r="L25" s="47">
        <f t="shared" si="1"/>
        <v>0</v>
      </c>
      <c r="M25" s="46"/>
      <c r="N25" s="47">
        <f t="shared" si="9"/>
        <v>0</v>
      </c>
      <c r="O25" s="47">
        <f t="shared" si="2"/>
        <v>0</v>
      </c>
      <c r="P25" s="47">
        <f t="shared" si="3"/>
        <v>0</v>
      </c>
      <c r="Q25" s="47">
        <f t="shared" si="4"/>
        <v>0</v>
      </c>
      <c r="R25" s="47">
        <f t="shared" si="5"/>
        <v>0</v>
      </c>
      <c r="S25" s="43">
        <f t="shared" si="6"/>
        <v>0</v>
      </c>
      <c r="T25" s="43">
        <f t="shared" si="7"/>
        <v>0</v>
      </c>
      <c r="U25" s="47">
        <f t="shared" si="8"/>
        <v>0</v>
      </c>
      <c r="V25" s="9"/>
    </row>
    <row r="26" spans="2:22" ht="14.95" customHeight="1" x14ac:dyDescent="0.25">
      <c r="B26" s="44"/>
      <c r="C26" s="44"/>
      <c r="D26" s="48"/>
      <c r="E26" s="45"/>
      <c r="F26" s="46"/>
      <c r="G26" s="47"/>
      <c r="H26" s="47">
        <f t="shared" si="0"/>
        <v>0</v>
      </c>
      <c r="I26" s="47"/>
      <c r="J26" s="47">
        <f t="shared" si="10"/>
        <v>0</v>
      </c>
      <c r="K26" s="46"/>
      <c r="L26" s="47">
        <f t="shared" si="1"/>
        <v>0</v>
      </c>
      <c r="M26" s="46"/>
      <c r="N26" s="47">
        <f t="shared" si="9"/>
        <v>0</v>
      </c>
      <c r="O26" s="47">
        <f t="shared" si="2"/>
        <v>0</v>
      </c>
      <c r="P26" s="47">
        <f t="shared" si="3"/>
        <v>0</v>
      </c>
      <c r="Q26" s="47">
        <f t="shared" si="4"/>
        <v>0</v>
      </c>
      <c r="R26" s="47">
        <f t="shared" si="5"/>
        <v>0</v>
      </c>
      <c r="S26" s="43">
        <f t="shared" si="6"/>
        <v>0</v>
      </c>
      <c r="T26" s="43">
        <f t="shared" si="7"/>
        <v>0</v>
      </c>
      <c r="U26" s="47">
        <f t="shared" si="8"/>
        <v>0</v>
      </c>
      <c r="V26" s="9"/>
    </row>
    <row r="27" spans="2:22" ht="14.95" customHeight="1" x14ac:dyDescent="0.25">
      <c r="B27" s="49"/>
      <c r="C27" s="49"/>
      <c r="D27" s="50"/>
      <c r="E27" s="51"/>
      <c r="F27" s="52"/>
      <c r="G27" s="53"/>
      <c r="H27" s="53">
        <f t="shared" si="0"/>
        <v>0</v>
      </c>
      <c r="I27" s="53"/>
      <c r="J27" s="53">
        <f t="shared" si="10"/>
        <v>0</v>
      </c>
      <c r="K27" s="52"/>
      <c r="L27" s="53">
        <f t="shared" si="1"/>
        <v>0</v>
      </c>
      <c r="M27" s="52"/>
      <c r="N27" s="53">
        <f t="shared" si="9"/>
        <v>0</v>
      </c>
      <c r="O27" s="53">
        <f t="shared" si="2"/>
        <v>0</v>
      </c>
      <c r="P27" s="53">
        <f t="shared" si="3"/>
        <v>0</v>
      </c>
      <c r="Q27" s="53">
        <f t="shared" si="4"/>
        <v>0</v>
      </c>
      <c r="R27" s="53">
        <f t="shared" si="5"/>
        <v>0</v>
      </c>
      <c r="S27" s="43">
        <f t="shared" si="6"/>
        <v>0</v>
      </c>
      <c r="T27" s="43">
        <f t="shared" si="7"/>
        <v>0</v>
      </c>
      <c r="U27" s="53">
        <f t="shared" si="8"/>
        <v>0</v>
      </c>
      <c r="V27" s="9"/>
    </row>
    <row r="28" spans="2:22" ht="23.95" customHeight="1" x14ac:dyDescent="0.25">
      <c r="B28" s="57" t="s">
        <v>0</v>
      </c>
      <c r="C28" s="57"/>
      <c r="D28" s="57"/>
      <c r="E28" s="57"/>
      <c r="F28" s="57"/>
      <c r="G28" s="54">
        <f>SUM(G16:G27)</f>
        <v>17000</v>
      </c>
      <c r="H28" s="54">
        <f>SUM(H16:H27)</f>
        <v>791</v>
      </c>
      <c r="I28" s="54">
        <f>SUM(I16:I27)</f>
        <v>0</v>
      </c>
      <c r="J28" s="54">
        <f>SUM(J16:J27)</f>
        <v>17791</v>
      </c>
      <c r="K28" s="54"/>
      <c r="L28" s="54">
        <f>SUM(L16:L27)</f>
        <v>734.76</v>
      </c>
      <c r="M28" s="54"/>
      <c r="N28" s="54">
        <f t="shared" ref="N28:T28" si="11">SUM(N16:N27)</f>
        <v>1213.9000000000001</v>
      </c>
      <c r="O28" s="54">
        <f t="shared" si="11"/>
        <v>191.42059999999998</v>
      </c>
      <c r="P28" s="54">
        <f t="shared" si="11"/>
        <v>166.30430000000001</v>
      </c>
      <c r="Q28" s="54">
        <f t="shared" si="11"/>
        <v>2306.3849</v>
      </c>
      <c r="R28" s="54">
        <f t="shared" si="11"/>
        <v>15484.615099999997</v>
      </c>
      <c r="S28" s="54">
        <f t="shared" si="11"/>
        <v>1601.19</v>
      </c>
      <c r="T28" s="54">
        <f t="shared" si="11"/>
        <v>222.38749999999999</v>
      </c>
      <c r="U28" s="54">
        <f>SUM(U16:U27)</f>
        <v>1823.5774999999999</v>
      </c>
      <c r="V28" s="9"/>
    </row>
    <row r="29" spans="2:22" x14ac:dyDescent="0.25">
      <c r="L29" s="11"/>
      <c r="M29" s="11"/>
    </row>
    <row r="30" spans="2:22" x14ac:dyDescent="0.25">
      <c r="Q30" s="6"/>
      <c r="R30" s="6"/>
      <c r="U30" s="6"/>
    </row>
  </sheetData>
  <dataConsolidate/>
  <mergeCells count="21">
    <mergeCell ref="B8:U8"/>
    <mergeCell ref="G14:G15"/>
    <mergeCell ref="H14:H15"/>
    <mergeCell ref="C13:C15"/>
    <mergeCell ref="D13:D15"/>
    <mergeCell ref="T14:T15"/>
    <mergeCell ref="U14:U15"/>
    <mergeCell ref="S14:S15"/>
    <mergeCell ref="S13:U13"/>
    <mergeCell ref="F13:F15"/>
    <mergeCell ref="K13:Q13"/>
    <mergeCell ref="K14:L15"/>
    <mergeCell ref="M14:P14"/>
    <mergeCell ref="R13:R15"/>
    <mergeCell ref="Q14:Q15"/>
    <mergeCell ref="B28:F28"/>
    <mergeCell ref="I14:I15"/>
    <mergeCell ref="J13:J15"/>
    <mergeCell ref="B13:B15"/>
    <mergeCell ref="E13:E15"/>
    <mergeCell ref="G13:I13"/>
  </mergeCells>
  <conditionalFormatting sqref="M16:M27">
    <cfRule type="expression" dxfId="1" priority="1">
      <formula>IF(L16="",TRUE,FALSE)</formula>
    </cfRule>
  </conditionalFormatting>
  <conditionalFormatting sqref="N16:P27">
    <cfRule type="containsText" dxfId="0" priority="2" operator="containsText" text="SELEC. AFP">
      <formula>NOT(ISERROR(SEARCH("SELEC. AFP",N16)))</formula>
    </cfRule>
  </conditionalFormatting>
  <dataValidations count="3">
    <dataValidation type="list" allowBlank="1" showInputMessage="1" showErrorMessage="1" sqref="F16:F27" xr:uid="{2FC2CA78-A583-4462-8399-B9FD8629DEF5}">
      <formula1>"SI, NO"</formula1>
    </dataValidation>
    <dataValidation type="list" allowBlank="1" showInputMessage="1" showErrorMessage="1" sqref="M20:M27" xr:uid="{430333E7-4FCB-4073-89C1-99F32C70ED21}">
      <formula1>"PRIMA, HORIZONTE, INTEGRA, PROFUTURO"</formula1>
    </dataValidation>
    <dataValidation type="list" allowBlank="1" showInputMessage="1" showErrorMessage="1" sqref="M16:M19" xr:uid="{B8064323-F9AD-43DD-BFB7-CFE905A4D2FC}">
      <formula1>"PRIMA, HABITAT, INTEGRA, PROFUTURO"</formula1>
    </dataValidation>
  </dataValidations>
  <pageMargins left="0.51181102362204722" right="0.51181102362204722" top="0.74803149606299213" bottom="0.74803149606299213" header="0.51181102362204722" footer="0.31496062992125984"/>
  <pageSetup paperSize="9" scale="8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5C5D1-1D48-4B05-B8B9-E1AB9C903127}">
  <sheetPr codeName="Hoja3"/>
  <dimension ref="A7:I25"/>
  <sheetViews>
    <sheetView showGridLines="0" tabSelected="1" zoomScale="120" zoomScaleNormal="120" workbookViewId="0">
      <selection activeCell="A8" sqref="A8:A23"/>
    </sheetView>
  </sheetViews>
  <sheetFormatPr baseColWidth="10" defaultRowHeight="14.3" x14ac:dyDescent="0.25"/>
  <cols>
    <col min="1" max="1" width="15.875" customWidth="1"/>
    <col min="2" max="2" width="6" bestFit="1" customWidth="1"/>
    <col min="3" max="3" width="59.125" customWidth="1"/>
  </cols>
  <sheetData>
    <row r="7" spans="1:7" x14ac:dyDescent="0.25">
      <c r="B7" s="76" t="s">
        <v>68</v>
      </c>
      <c r="C7" s="76"/>
      <c r="F7" s="30" t="s">
        <v>71</v>
      </c>
      <c r="G7" s="30" t="s">
        <v>72</v>
      </c>
    </row>
    <row r="8" spans="1:7" x14ac:dyDescent="0.25">
      <c r="A8" s="77" t="s">
        <v>69</v>
      </c>
      <c r="B8" s="17">
        <v>62</v>
      </c>
      <c r="C8" s="18" t="s">
        <v>54</v>
      </c>
      <c r="F8" s="27">
        <f>+E9+E10</f>
        <v>19614.577499999999</v>
      </c>
      <c r="G8" s="26"/>
    </row>
    <row r="9" spans="1:7" x14ac:dyDescent="0.25">
      <c r="A9" s="77"/>
      <c r="B9" s="19">
        <v>621</v>
      </c>
      <c r="C9" s="20" t="s">
        <v>55</v>
      </c>
      <c r="E9" s="23">
        <f>+Planilla!J28</f>
        <v>17791</v>
      </c>
      <c r="F9" s="26"/>
      <c r="G9" s="26"/>
    </row>
    <row r="10" spans="1:7" x14ac:dyDescent="0.25">
      <c r="A10" s="77"/>
      <c r="B10" s="19">
        <v>627</v>
      </c>
      <c r="C10" s="20" t="s">
        <v>56</v>
      </c>
      <c r="E10" s="23">
        <f>+D11+D12</f>
        <v>1823.5775000000001</v>
      </c>
      <c r="F10" s="26"/>
      <c r="G10" s="26"/>
    </row>
    <row r="11" spans="1:7" x14ac:dyDescent="0.25">
      <c r="A11" s="77"/>
      <c r="B11" s="19">
        <v>6271</v>
      </c>
      <c r="C11" s="20" t="s">
        <v>57</v>
      </c>
      <c r="D11" s="23">
        <f>+Planilla!S28</f>
        <v>1601.19</v>
      </c>
      <c r="F11" s="26"/>
      <c r="G11" s="26"/>
    </row>
    <row r="12" spans="1:7" ht="26.5" x14ac:dyDescent="0.25">
      <c r="A12" s="77"/>
      <c r="B12" s="22">
        <v>6273</v>
      </c>
      <c r="C12" s="21" t="s">
        <v>58</v>
      </c>
      <c r="D12" s="23">
        <f>+Planilla!T28</f>
        <v>222.38749999999999</v>
      </c>
      <c r="F12" s="26"/>
      <c r="G12" s="26"/>
    </row>
    <row r="13" spans="1:7" ht="27.2" x14ac:dyDescent="0.25">
      <c r="A13" s="77"/>
      <c r="B13" s="25">
        <v>40</v>
      </c>
      <c r="C13" s="24" t="s">
        <v>59</v>
      </c>
      <c r="F13" s="26"/>
      <c r="G13" s="27">
        <f>+E15+E16+E17</f>
        <v>2558.3374999999996</v>
      </c>
    </row>
    <row r="14" spans="1:7" x14ac:dyDescent="0.25">
      <c r="A14" s="77"/>
      <c r="B14" s="19">
        <v>403</v>
      </c>
      <c r="C14" s="20" t="s">
        <v>60</v>
      </c>
      <c r="F14" s="26"/>
      <c r="G14" s="26"/>
    </row>
    <row r="15" spans="1:7" x14ac:dyDescent="0.25">
      <c r="A15" s="77"/>
      <c r="B15" s="19">
        <v>4031</v>
      </c>
      <c r="C15" s="20" t="s">
        <v>53</v>
      </c>
      <c r="E15" s="23">
        <f>+Planilla!S28</f>
        <v>1601.19</v>
      </c>
      <c r="F15" s="26"/>
      <c r="G15" s="26"/>
    </row>
    <row r="16" spans="1:7" x14ac:dyDescent="0.25">
      <c r="A16" s="77"/>
      <c r="B16" s="19">
        <v>4032</v>
      </c>
      <c r="C16" s="20" t="s">
        <v>61</v>
      </c>
      <c r="E16" s="23">
        <f>+Planilla!L28</f>
        <v>734.76</v>
      </c>
      <c r="F16" s="26"/>
      <c r="G16" s="26"/>
    </row>
    <row r="17" spans="1:9" x14ac:dyDescent="0.25">
      <c r="A17" s="77"/>
      <c r="B17" s="19">
        <v>4039</v>
      </c>
      <c r="C17" s="20" t="s">
        <v>67</v>
      </c>
      <c r="E17" s="23">
        <f>+Planilla!T28</f>
        <v>222.38749999999999</v>
      </c>
      <c r="F17" s="26"/>
      <c r="G17" s="26"/>
    </row>
    <row r="18" spans="1:9" x14ac:dyDescent="0.25">
      <c r="A18" s="77"/>
      <c r="B18" s="19">
        <v>40391</v>
      </c>
      <c r="C18" s="20" t="s">
        <v>10</v>
      </c>
      <c r="E18" s="23"/>
      <c r="F18" s="26"/>
      <c r="G18" s="26"/>
    </row>
    <row r="19" spans="1:9" x14ac:dyDescent="0.25">
      <c r="A19" s="77"/>
      <c r="B19" s="17">
        <v>41</v>
      </c>
      <c r="C19" s="18" t="s">
        <v>62</v>
      </c>
      <c r="F19" s="26"/>
      <c r="G19" s="27">
        <f>+E20</f>
        <v>15484.615099999997</v>
      </c>
    </row>
    <row r="20" spans="1:9" x14ac:dyDescent="0.25">
      <c r="A20" s="77"/>
      <c r="B20" s="19">
        <v>411</v>
      </c>
      <c r="C20" s="20" t="s">
        <v>63</v>
      </c>
      <c r="E20" s="23">
        <f>+Planilla!R28</f>
        <v>15484.615099999997</v>
      </c>
      <c r="F20" s="26"/>
      <c r="G20" s="26"/>
    </row>
    <row r="21" spans="1:9" x14ac:dyDescent="0.25">
      <c r="A21" s="77"/>
      <c r="B21" s="17">
        <v>46</v>
      </c>
      <c r="C21" s="18" t="s">
        <v>64</v>
      </c>
      <c r="F21" s="26"/>
      <c r="G21" s="27">
        <f>+E23</f>
        <v>1571.6249</v>
      </c>
    </row>
    <row r="22" spans="1:9" x14ac:dyDescent="0.25">
      <c r="A22" s="77"/>
      <c r="B22" s="19">
        <v>469</v>
      </c>
      <c r="C22" s="20" t="s">
        <v>65</v>
      </c>
      <c r="F22" s="26"/>
      <c r="G22" s="26"/>
    </row>
    <row r="23" spans="1:9" x14ac:dyDescent="0.25">
      <c r="A23" s="77"/>
      <c r="B23" s="19">
        <v>4699</v>
      </c>
      <c r="C23" s="20" t="s">
        <v>66</v>
      </c>
      <c r="E23" s="23">
        <f>+Planilla!N28+Planilla!O28+Planilla!P28</f>
        <v>1571.6249</v>
      </c>
      <c r="F23" s="26"/>
      <c r="G23" s="26"/>
    </row>
    <row r="24" spans="1:9" x14ac:dyDescent="0.25">
      <c r="C24" s="20" t="s">
        <v>70</v>
      </c>
      <c r="F24" s="31"/>
      <c r="G24" s="31"/>
    </row>
    <row r="25" spans="1:9" x14ac:dyDescent="0.25">
      <c r="C25" s="76"/>
      <c r="D25" s="76"/>
      <c r="F25" s="23"/>
      <c r="G25" s="23"/>
      <c r="I25" s="23"/>
    </row>
  </sheetData>
  <mergeCells count="3">
    <mergeCell ref="B7:C7"/>
    <mergeCell ref="A8:A23"/>
    <mergeCell ref="C25:D2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Planilla</vt:lpstr>
      <vt:lpstr>Asiento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SEBASTIANI</dc:creator>
  <cp:lastModifiedBy>Martin</cp:lastModifiedBy>
  <cp:lastPrinted>2011-09-28T07:00:00Z</cp:lastPrinted>
  <dcterms:created xsi:type="dcterms:W3CDTF">2011-09-27T23:06:08Z</dcterms:created>
  <dcterms:modified xsi:type="dcterms:W3CDTF">2026-07-26T18:41:18Z</dcterms:modified>
</cp:coreProperties>
</file>