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Mi unidad\Informacion Contable Tributaria Laboral\Excels Creados\"/>
    </mc:Choice>
  </mc:AlternateContent>
  <xr:revisionPtr revIDLastSave="0" documentId="13_ncr:1_{9CF3B855-9D91-4C85-90DC-66EE052ACCA6}" xr6:coauthVersionLast="47" xr6:coauthVersionMax="47" xr10:uidLastSave="{00000000-0000-0000-0000-000000000000}"/>
  <bookViews>
    <workbookView xWindow="-109" yWindow="-109" windowWidth="26301" windowHeight="14169" tabRatio="500" activeTab="2" xr2:uid="{00000000-000D-0000-FFFF-FFFF00000000}"/>
  </bookViews>
  <sheets>
    <sheet name="Instrucciones" sheetId="1" r:id="rId1"/>
    <sheet name="Cronograma Base 2026" sheetId="2" r:id="rId2"/>
    <sheet name="Control Clientes" sheetId="3" r:id="rId3"/>
    <sheet name="Resumen del M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7" i="3" l="1"/>
  <c r="D87" i="3"/>
  <c r="G86" i="3"/>
  <c r="D86" i="3"/>
  <c r="H86" i="3" s="1"/>
  <c r="J86" i="3" s="1"/>
  <c r="G85" i="3"/>
  <c r="D85" i="3"/>
  <c r="K85" i="3" s="1"/>
  <c r="M85" i="3" s="1"/>
  <c r="G84" i="3"/>
  <c r="D84" i="3"/>
  <c r="K83" i="3"/>
  <c r="M83" i="3" s="1"/>
  <c r="G83" i="3"/>
  <c r="D83" i="3"/>
  <c r="H83" i="3" s="1"/>
  <c r="J83" i="3" s="1"/>
  <c r="G82" i="3"/>
  <c r="D82" i="3"/>
  <c r="K82" i="3" s="1"/>
  <c r="M82" i="3" s="1"/>
  <c r="G81" i="3"/>
  <c r="D81" i="3"/>
  <c r="G80" i="3"/>
  <c r="D80" i="3"/>
  <c r="H80" i="3" s="1"/>
  <c r="J80" i="3" s="1"/>
  <c r="K79" i="3"/>
  <c r="M79" i="3" s="1"/>
  <c r="G79" i="3"/>
  <c r="D79" i="3"/>
  <c r="H79" i="3" s="1"/>
  <c r="G78" i="3"/>
  <c r="D78" i="3"/>
  <c r="G77" i="3"/>
  <c r="D77" i="3"/>
  <c r="H77" i="3" s="1"/>
  <c r="J77" i="3" s="1"/>
  <c r="G76" i="3"/>
  <c r="D76" i="3"/>
  <c r="H76" i="3" s="1"/>
  <c r="G75" i="3"/>
  <c r="D75" i="3"/>
  <c r="G74" i="3"/>
  <c r="D74" i="3"/>
  <c r="H74" i="3" s="1"/>
  <c r="J74" i="3" s="1"/>
  <c r="G73" i="3"/>
  <c r="D73" i="3"/>
  <c r="K73" i="3" s="1"/>
  <c r="M73" i="3" s="1"/>
  <c r="G72" i="3"/>
  <c r="D72" i="3"/>
  <c r="G71" i="3"/>
  <c r="D71" i="3"/>
  <c r="H71" i="3" s="1"/>
  <c r="J71" i="3" s="1"/>
  <c r="G70" i="3"/>
  <c r="D70" i="3"/>
  <c r="K70" i="3" s="1"/>
  <c r="M70" i="3" s="1"/>
  <c r="G69" i="3"/>
  <c r="D69" i="3"/>
  <c r="G68" i="3"/>
  <c r="D68" i="3"/>
  <c r="H68" i="3" s="1"/>
  <c r="J68" i="3" s="1"/>
  <c r="G67" i="3"/>
  <c r="D67" i="3"/>
  <c r="K67" i="3" s="1"/>
  <c r="M67" i="3" s="1"/>
  <c r="G66" i="3"/>
  <c r="D66" i="3"/>
  <c r="G65" i="3"/>
  <c r="D65" i="3"/>
  <c r="H65" i="3" s="1"/>
  <c r="J65" i="3" s="1"/>
  <c r="G64" i="3"/>
  <c r="D64" i="3"/>
  <c r="H64" i="3" s="1"/>
  <c r="N64" i="3" s="1"/>
  <c r="P64" i="3" s="1"/>
  <c r="G63" i="3"/>
  <c r="D63" i="3"/>
  <c r="K62" i="3"/>
  <c r="M62" i="3" s="1"/>
  <c r="G62" i="3"/>
  <c r="D62" i="3"/>
  <c r="H62" i="3" s="1"/>
  <c r="J62" i="3" s="1"/>
  <c r="G61" i="3"/>
  <c r="D61" i="3"/>
  <c r="H61" i="3" s="1"/>
  <c r="G60" i="3"/>
  <c r="D60" i="3"/>
  <c r="G59" i="3"/>
  <c r="D59" i="3"/>
  <c r="H59" i="3" s="1"/>
  <c r="J59" i="3" s="1"/>
  <c r="G58" i="3"/>
  <c r="D58" i="3"/>
  <c r="K58" i="3" s="1"/>
  <c r="M58" i="3" s="1"/>
  <c r="G57" i="3"/>
  <c r="D57" i="3"/>
  <c r="G56" i="3"/>
  <c r="D56" i="3"/>
  <c r="H56" i="3" s="1"/>
  <c r="J56" i="3" s="1"/>
  <c r="G55" i="3"/>
  <c r="D55" i="3"/>
  <c r="K55" i="3" s="1"/>
  <c r="M55" i="3" s="1"/>
  <c r="G54" i="3"/>
  <c r="D54" i="3"/>
  <c r="N53" i="3"/>
  <c r="P53" i="3" s="1"/>
  <c r="K53" i="3"/>
  <c r="M53" i="3" s="1"/>
  <c r="G53" i="3"/>
  <c r="D53" i="3"/>
  <c r="H53" i="3" s="1"/>
  <c r="J53" i="3" s="1"/>
  <c r="G52" i="3"/>
  <c r="D52" i="3"/>
  <c r="K52" i="3" s="1"/>
  <c r="M52" i="3" s="1"/>
  <c r="G51" i="3"/>
  <c r="D51" i="3"/>
  <c r="G50" i="3"/>
  <c r="D50" i="3"/>
  <c r="H50" i="3" s="1"/>
  <c r="J50" i="3" s="1"/>
  <c r="N49" i="3"/>
  <c r="P49" i="3" s="1"/>
  <c r="K49" i="3"/>
  <c r="M49" i="3" s="1"/>
  <c r="J49" i="3"/>
  <c r="H49" i="3"/>
  <c r="G49" i="3"/>
  <c r="D49" i="3"/>
  <c r="G48" i="3"/>
  <c r="D48" i="3"/>
  <c r="G47" i="3"/>
  <c r="D47" i="3"/>
  <c r="H47" i="3" s="1"/>
  <c r="J47" i="3" s="1"/>
  <c r="G46" i="3"/>
  <c r="D46" i="3"/>
  <c r="H46" i="3" s="1"/>
  <c r="G45" i="3"/>
  <c r="D45" i="3"/>
  <c r="G44" i="3"/>
  <c r="D44" i="3"/>
  <c r="H44" i="3" s="1"/>
  <c r="J44" i="3" s="1"/>
  <c r="G43" i="3"/>
  <c r="D43" i="3"/>
  <c r="K43" i="3" s="1"/>
  <c r="M43" i="3" s="1"/>
  <c r="G42" i="3"/>
  <c r="D42" i="3"/>
  <c r="K42" i="3" s="1"/>
  <c r="M42" i="3" s="1"/>
  <c r="N41" i="3"/>
  <c r="P41" i="3" s="1"/>
  <c r="K41" i="3"/>
  <c r="M41" i="3" s="1"/>
  <c r="G41" i="3"/>
  <c r="D41" i="3"/>
  <c r="H41" i="3" s="1"/>
  <c r="J41" i="3" s="1"/>
  <c r="G40" i="3"/>
  <c r="D40" i="3"/>
  <c r="K40" i="3" s="1"/>
  <c r="M40" i="3" s="1"/>
  <c r="G39" i="3"/>
  <c r="D39" i="3"/>
  <c r="K39" i="3" s="1"/>
  <c r="M39" i="3" s="1"/>
  <c r="G38" i="3"/>
  <c r="D38" i="3"/>
  <c r="H38" i="3" s="1"/>
  <c r="J38" i="3" s="1"/>
  <c r="G37" i="3"/>
  <c r="D37" i="3"/>
  <c r="K37" i="3" s="1"/>
  <c r="M37" i="3" s="1"/>
  <c r="G36" i="3"/>
  <c r="D36" i="3"/>
  <c r="K36" i="3" s="1"/>
  <c r="M36" i="3" s="1"/>
  <c r="G35" i="3"/>
  <c r="D35" i="3"/>
  <c r="H35" i="3" s="1"/>
  <c r="J35" i="3" s="1"/>
  <c r="G34" i="3"/>
  <c r="D34" i="3"/>
  <c r="K34" i="3" s="1"/>
  <c r="M34" i="3" s="1"/>
  <c r="G33" i="3"/>
  <c r="D33" i="3"/>
  <c r="K33" i="3" s="1"/>
  <c r="M33" i="3" s="1"/>
  <c r="N32" i="3"/>
  <c r="P32" i="3" s="1"/>
  <c r="K32" i="3"/>
  <c r="M32" i="3" s="1"/>
  <c r="G32" i="3"/>
  <c r="D32" i="3"/>
  <c r="H32" i="3" s="1"/>
  <c r="J32" i="3" s="1"/>
  <c r="G31" i="3"/>
  <c r="D31" i="3"/>
  <c r="K31" i="3" s="1"/>
  <c r="M31" i="3" s="1"/>
  <c r="G30" i="3"/>
  <c r="D30" i="3"/>
  <c r="K30" i="3" s="1"/>
  <c r="M30" i="3" s="1"/>
  <c r="K29" i="3"/>
  <c r="M29" i="3" s="1"/>
  <c r="G29" i="3"/>
  <c r="D29" i="3"/>
  <c r="H29" i="3" s="1"/>
  <c r="J29" i="3" s="1"/>
  <c r="G28" i="3"/>
  <c r="D28" i="3"/>
  <c r="K28" i="3" s="1"/>
  <c r="M28" i="3" s="1"/>
  <c r="G27" i="3"/>
  <c r="D27" i="3"/>
  <c r="H27" i="3" s="1"/>
  <c r="N27" i="3" s="1"/>
  <c r="P27" i="3" s="1"/>
  <c r="G26" i="3"/>
  <c r="D26" i="3"/>
  <c r="H26" i="3" s="1"/>
  <c r="N26" i="3" s="1"/>
  <c r="P26" i="3" s="1"/>
  <c r="G25" i="3"/>
  <c r="D25" i="3"/>
  <c r="H25" i="3" s="1"/>
  <c r="N25" i="3" s="1"/>
  <c r="P25" i="3" s="1"/>
  <c r="G24" i="3"/>
  <c r="D24" i="3"/>
  <c r="G23" i="3"/>
  <c r="D23" i="3"/>
  <c r="H23" i="3" s="1"/>
  <c r="J23" i="3" s="1"/>
  <c r="G22" i="3"/>
  <c r="D22" i="3"/>
  <c r="H22" i="3" s="1"/>
  <c r="N22" i="3" s="1"/>
  <c r="P22" i="3" s="1"/>
  <c r="G21" i="3"/>
  <c r="D21" i="3"/>
  <c r="K21" i="3" s="1"/>
  <c r="M21" i="3" s="1"/>
  <c r="G20" i="3"/>
  <c r="D20" i="3"/>
  <c r="G19" i="3"/>
  <c r="D19" i="3"/>
  <c r="G18" i="3"/>
  <c r="D18" i="3"/>
  <c r="K18" i="3" s="1"/>
  <c r="M18" i="3" s="1"/>
  <c r="G17" i="3"/>
  <c r="D17" i="3"/>
  <c r="H17" i="3" s="1"/>
  <c r="N17" i="3" s="1"/>
  <c r="P17" i="3" s="1"/>
  <c r="G16" i="3"/>
  <c r="D16" i="3"/>
  <c r="K16" i="3" s="1"/>
  <c r="M16" i="3" s="1"/>
  <c r="G15" i="3"/>
  <c r="D15" i="3"/>
  <c r="H15" i="3" s="1"/>
  <c r="N15" i="3" s="1"/>
  <c r="P15" i="3" s="1"/>
  <c r="G14" i="3"/>
  <c r="D14" i="3"/>
  <c r="H14" i="3" s="1"/>
  <c r="N14" i="3" s="1"/>
  <c r="P14" i="3" s="1"/>
  <c r="G13" i="3"/>
  <c r="D13" i="3"/>
  <c r="K13" i="3" s="1"/>
  <c r="M13" i="3" s="1"/>
  <c r="G12" i="3"/>
  <c r="D12" i="3"/>
  <c r="G11" i="3"/>
  <c r="D11" i="3"/>
  <c r="H11" i="3" s="1"/>
  <c r="J11" i="3" s="1"/>
  <c r="G10" i="3"/>
  <c r="D10" i="3"/>
  <c r="H10" i="3" s="1"/>
  <c r="N10" i="3" s="1"/>
  <c r="P10" i="3" s="1"/>
  <c r="G9" i="3"/>
  <c r="D9" i="3"/>
  <c r="K9" i="3" s="1"/>
  <c r="M9" i="3" s="1"/>
  <c r="G8" i="3"/>
  <c r="D8" i="3"/>
  <c r="G7" i="3"/>
  <c r="D7" i="3"/>
  <c r="G6" i="3"/>
  <c r="D6" i="3"/>
  <c r="K6" i="3" s="1"/>
  <c r="M6" i="3" s="1"/>
  <c r="G5" i="3"/>
  <c r="D5" i="3"/>
  <c r="H5" i="3" s="1"/>
  <c r="N5" i="3" s="1"/>
  <c r="P5" i="3" s="1"/>
  <c r="E2" i="3"/>
  <c r="K80" i="3" l="1"/>
  <c r="M80" i="3" s="1"/>
  <c r="K25" i="3"/>
  <c r="M25" i="3" s="1"/>
  <c r="K59" i="3"/>
  <c r="M59" i="3" s="1"/>
  <c r="H39" i="3"/>
  <c r="K77" i="3"/>
  <c r="M77" i="3" s="1"/>
  <c r="H31" i="3"/>
  <c r="N31" i="3" s="1"/>
  <c r="P31" i="3" s="1"/>
  <c r="K35" i="3"/>
  <c r="M35" i="3" s="1"/>
  <c r="K64" i="3"/>
  <c r="M64" i="3" s="1"/>
  <c r="H6" i="3"/>
  <c r="N6" i="3" s="1"/>
  <c r="P6" i="3" s="1"/>
  <c r="N35" i="3"/>
  <c r="P35" i="3" s="1"/>
  <c r="H82" i="3"/>
  <c r="N82" i="3" s="1"/>
  <c r="P82" i="3" s="1"/>
  <c r="K11" i="3"/>
  <c r="M11" i="3" s="1"/>
  <c r="H40" i="3"/>
  <c r="N40" i="3" s="1"/>
  <c r="P40" i="3" s="1"/>
  <c r="K44" i="3"/>
  <c r="M44" i="3" s="1"/>
  <c r="N56" i="3"/>
  <c r="P56" i="3" s="1"/>
  <c r="K86" i="3"/>
  <c r="M86" i="3" s="1"/>
  <c r="K17" i="3"/>
  <c r="M17" i="3" s="1"/>
  <c r="N44" i="3"/>
  <c r="P44" i="3" s="1"/>
  <c r="K61" i="3"/>
  <c r="M61" i="3" s="1"/>
  <c r="K65" i="3"/>
  <c r="M65" i="3" s="1"/>
  <c r="K74" i="3"/>
  <c r="M74" i="3" s="1"/>
  <c r="K71" i="3"/>
  <c r="M71" i="3" s="1"/>
  <c r="K38" i="3"/>
  <c r="M38" i="3" s="1"/>
  <c r="K46" i="3"/>
  <c r="M46" i="3" s="1"/>
  <c r="H67" i="3"/>
  <c r="N67" i="3" s="1"/>
  <c r="P67" i="3" s="1"/>
  <c r="N71" i="3"/>
  <c r="P71" i="3" s="1"/>
  <c r="H30" i="3"/>
  <c r="N30" i="3" s="1"/>
  <c r="P30" i="3" s="1"/>
  <c r="K50" i="3"/>
  <c r="M50" i="3" s="1"/>
  <c r="N59" i="3"/>
  <c r="P59" i="3" s="1"/>
  <c r="H85" i="3"/>
  <c r="N85" i="3" s="1"/>
  <c r="P85" i="3" s="1"/>
  <c r="K10" i="3"/>
  <c r="M10" i="3" s="1"/>
  <c r="K47" i="3"/>
  <c r="M47" i="3" s="1"/>
  <c r="K68" i="3"/>
  <c r="M68" i="3" s="1"/>
  <c r="N77" i="3"/>
  <c r="P77" i="3" s="1"/>
  <c r="K56" i="3"/>
  <c r="M56" i="3" s="1"/>
  <c r="N74" i="3"/>
  <c r="P74" i="3" s="1"/>
  <c r="J46" i="3"/>
  <c r="N46" i="3"/>
  <c r="P46" i="3" s="1"/>
  <c r="N61" i="3"/>
  <c r="P61" i="3" s="1"/>
  <c r="J61" i="3"/>
  <c r="N79" i="3"/>
  <c r="P79" i="3" s="1"/>
  <c r="J79" i="3"/>
  <c r="N76" i="3"/>
  <c r="P76" i="3" s="1"/>
  <c r="J76" i="3"/>
  <c r="H33" i="3"/>
  <c r="H42" i="3"/>
  <c r="H55" i="3"/>
  <c r="K60" i="3"/>
  <c r="M60" i="3" s="1"/>
  <c r="H60" i="3"/>
  <c r="N62" i="3"/>
  <c r="P62" i="3" s="1"/>
  <c r="H73" i="3"/>
  <c r="N80" i="3"/>
  <c r="P80" i="3" s="1"/>
  <c r="H34" i="3"/>
  <c r="H43" i="3"/>
  <c r="N47" i="3"/>
  <c r="P47" i="3" s="1"/>
  <c r="N29" i="3"/>
  <c r="P29" i="3" s="1"/>
  <c r="N65" i="3"/>
  <c r="P65" i="3" s="1"/>
  <c r="N50" i="3"/>
  <c r="P50" i="3" s="1"/>
  <c r="K76" i="3"/>
  <c r="M76" i="3" s="1"/>
  <c r="H84" i="3"/>
  <c r="K84" i="3"/>
  <c r="M84" i="3" s="1"/>
  <c r="N86" i="3"/>
  <c r="P86" i="3" s="1"/>
  <c r="K54" i="3"/>
  <c r="M54" i="3" s="1"/>
  <c r="H54" i="3"/>
  <c r="J67" i="3"/>
  <c r="J85" i="3"/>
  <c r="J40" i="3"/>
  <c r="H52" i="3"/>
  <c r="K57" i="3"/>
  <c r="M57" i="3" s="1"/>
  <c r="H57" i="3"/>
  <c r="H70" i="3"/>
  <c r="K75" i="3"/>
  <c r="M75" i="3" s="1"/>
  <c r="H75" i="3"/>
  <c r="K45" i="3"/>
  <c r="M45" i="3" s="1"/>
  <c r="H45" i="3"/>
  <c r="K78" i="3"/>
  <c r="M78" i="3" s="1"/>
  <c r="H78" i="3"/>
  <c r="H36" i="3"/>
  <c r="N38" i="3"/>
  <c r="P38" i="3" s="1"/>
  <c r="H58" i="3"/>
  <c r="K63" i="3"/>
  <c r="M63" i="3" s="1"/>
  <c r="H63" i="3"/>
  <c r="K81" i="3"/>
  <c r="M81" i="3" s="1"/>
  <c r="H81" i="3"/>
  <c r="N83" i="3"/>
  <c r="P83" i="3" s="1"/>
  <c r="K48" i="3"/>
  <c r="M48" i="3" s="1"/>
  <c r="H48" i="3"/>
  <c r="K66" i="3"/>
  <c r="M66" i="3" s="1"/>
  <c r="H66" i="3"/>
  <c r="N68" i="3"/>
  <c r="P68" i="3" s="1"/>
  <c r="H28" i="3"/>
  <c r="H37" i="3"/>
  <c r="K51" i="3"/>
  <c r="M51" i="3" s="1"/>
  <c r="H51" i="3"/>
  <c r="K72" i="3"/>
  <c r="M72" i="3" s="1"/>
  <c r="H72" i="3"/>
  <c r="J30" i="3"/>
  <c r="N39" i="3"/>
  <c r="P39" i="3" s="1"/>
  <c r="J39" i="3"/>
  <c r="K69" i="3"/>
  <c r="M69" i="3" s="1"/>
  <c r="H69" i="3"/>
  <c r="K87" i="3"/>
  <c r="M87" i="3" s="1"/>
  <c r="H87" i="3"/>
  <c r="J64" i="3"/>
  <c r="J82" i="3"/>
  <c r="H13" i="3"/>
  <c r="N13" i="3" s="1"/>
  <c r="P13" i="3" s="1"/>
  <c r="K27" i="3"/>
  <c r="M27" i="3" s="1"/>
  <c r="H18" i="3"/>
  <c r="N18" i="3" s="1"/>
  <c r="P18" i="3" s="1"/>
  <c r="K23" i="3"/>
  <c r="M23" i="3" s="1"/>
  <c r="K5" i="3"/>
  <c r="M5" i="3" s="1"/>
  <c r="N11" i="3"/>
  <c r="P11" i="3" s="1"/>
  <c r="J10" i="3"/>
  <c r="N23" i="3"/>
  <c r="P23" i="3" s="1"/>
  <c r="J27" i="3"/>
  <c r="J18" i="3"/>
  <c r="J5" i="3"/>
  <c r="J17" i="3"/>
  <c r="J15" i="3"/>
  <c r="K24" i="3"/>
  <c r="M24" i="3" s="1"/>
  <c r="H24" i="3"/>
  <c r="J6" i="3"/>
  <c r="K15" i="3"/>
  <c r="M15" i="3" s="1"/>
  <c r="H7" i="3"/>
  <c r="K7" i="3"/>
  <c r="M7" i="3" s="1"/>
  <c r="H8" i="3"/>
  <c r="K8" i="3"/>
  <c r="M8" i="3" s="1"/>
  <c r="K19" i="3"/>
  <c r="M19" i="3" s="1"/>
  <c r="H19" i="3"/>
  <c r="J22" i="3"/>
  <c r="J25" i="3"/>
  <c r="K22" i="3"/>
  <c r="M22" i="3" s="1"/>
  <c r="H20" i="3"/>
  <c r="K20" i="3"/>
  <c r="M20" i="3" s="1"/>
  <c r="H12" i="3"/>
  <c r="K12" i="3"/>
  <c r="M12" i="3" s="1"/>
  <c r="J14" i="3"/>
  <c r="J26" i="3"/>
  <c r="H9" i="3"/>
  <c r="K14" i="3"/>
  <c r="M14" i="3" s="1"/>
  <c r="H16" i="3"/>
  <c r="H21" i="3"/>
  <c r="K26" i="3"/>
  <c r="M26" i="3" s="1"/>
  <c r="D4" i="4"/>
  <c r="C4" i="4"/>
  <c r="B4" i="4"/>
  <c r="J31" i="3" l="1"/>
  <c r="J13" i="3"/>
  <c r="N57" i="3"/>
  <c r="P57" i="3" s="1"/>
  <c r="J57" i="3"/>
  <c r="N52" i="3"/>
  <c r="P52" i="3" s="1"/>
  <c r="J52" i="3"/>
  <c r="N69" i="3"/>
  <c r="P69" i="3" s="1"/>
  <c r="J69" i="3"/>
  <c r="N36" i="3"/>
  <c r="P36" i="3" s="1"/>
  <c r="J36" i="3"/>
  <c r="N43" i="3"/>
  <c r="P43" i="3" s="1"/>
  <c r="J43" i="3"/>
  <c r="N66" i="3"/>
  <c r="P66" i="3" s="1"/>
  <c r="J66" i="3"/>
  <c r="N78" i="3"/>
  <c r="P78" i="3" s="1"/>
  <c r="J78" i="3"/>
  <c r="N34" i="3"/>
  <c r="P34" i="3" s="1"/>
  <c r="J34" i="3"/>
  <c r="N54" i="3"/>
  <c r="P54" i="3" s="1"/>
  <c r="J54" i="3"/>
  <c r="N48" i="3"/>
  <c r="P48" i="3" s="1"/>
  <c r="J48" i="3"/>
  <c r="N45" i="3"/>
  <c r="P45" i="3" s="1"/>
  <c r="J45" i="3"/>
  <c r="N73" i="3"/>
  <c r="P73" i="3" s="1"/>
  <c r="J73" i="3"/>
  <c r="N55" i="3"/>
  <c r="P55" i="3" s="1"/>
  <c r="J55" i="3"/>
  <c r="N42" i="3"/>
  <c r="P42" i="3" s="1"/>
  <c r="J42" i="3"/>
  <c r="N33" i="3"/>
  <c r="P33" i="3" s="1"/>
  <c r="J33" i="3"/>
  <c r="J37" i="3"/>
  <c r="N37" i="3"/>
  <c r="P37" i="3" s="1"/>
  <c r="N63" i="3"/>
  <c r="P63" i="3" s="1"/>
  <c r="J63" i="3"/>
  <c r="N87" i="3"/>
  <c r="P87" i="3" s="1"/>
  <c r="J87" i="3"/>
  <c r="N70" i="3"/>
  <c r="P70" i="3" s="1"/>
  <c r="J70" i="3"/>
  <c r="N51" i="3"/>
  <c r="P51" i="3" s="1"/>
  <c r="J51" i="3"/>
  <c r="N58" i="3"/>
  <c r="P58" i="3" s="1"/>
  <c r="J58" i="3"/>
  <c r="J28" i="3"/>
  <c r="N28" i="3"/>
  <c r="P28" i="3" s="1"/>
  <c r="N75" i="3"/>
  <c r="P75" i="3" s="1"/>
  <c r="J75" i="3"/>
  <c r="N60" i="3"/>
  <c r="P60" i="3" s="1"/>
  <c r="J60" i="3"/>
  <c r="N72" i="3"/>
  <c r="P72" i="3" s="1"/>
  <c r="J72" i="3"/>
  <c r="N81" i="3"/>
  <c r="P81" i="3" s="1"/>
  <c r="J81" i="3"/>
  <c r="N84" i="3"/>
  <c r="P84" i="3" s="1"/>
  <c r="J84" i="3"/>
  <c r="D6" i="4"/>
  <c r="C6" i="4"/>
  <c r="B6" i="4"/>
  <c r="N24" i="3"/>
  <c r="P24" i="3" s="1"/>
  <c r="J24" i="3"/>
  <c r="J20" i="3"/>
  <c r="N20" i="3"/>
  <c r="P20" i="3" s="1"/>
  <c r="J7" i="3"/>
  <c r="N7" i="3"/>
  <c r="P7" i="3" s="1"/>
  <c r="N19" i="3"/>
  <c r="P19" i="3" s="1"/>
  <c r="J19" i="3"/>
  <c r="N21" i="3"/>
  <c r="P21" i="3" s="1"/>
  <c r="J21" i="3"/>
  <c r="N8" i="3"/>
  <c r="P8" i="3" s="1"/>
  <c r="J8" i="3"/>
  <c r="J16" i="3"/>
  <c r="N16" i="3"/>
  <c r="P16" i="3" s="1"/>
  <c r="N9" i="3"/>
  <c r="P9" i="3" s="1"/>
  <c r="J9" i="3"/>
  <c r="N12" i="3"/>
  <c r="P12" i="3" s="1"/>
  <c r="J12" i="3"/>
  <c r="D7" i="4" l="1"/>
  <c r="C7" i="4"/>
  <c r="B7" i="4"/>
  <c r="C5" i="4"/>
  <c r="D5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</authors>
  <commentList>
    <comment ref="D4" authorId="0" shapeId="0" xr:uid="{79DAB323-BA68-401F-9816-83D941CC051A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</text>
    </comment>
    <comment ref="G4" authorId="0" shapeId="0" xr:uid="{70361BB8-3CE7-4A3B-9B2F-2BB0E8B00694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" authorId="0" shapeId="0" xr:uid="{5EE1F93C-C1C3-4015-880B-5D720F5C9145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</text>
    </comment>
    <comment ref="J4" authorId="0" shapeId="0" xr:uid="{B9E2D74F-0002-4C69-842B-BE6F7288E732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" authorId="0" shapeId="0" xr:uid="{6E8D6F25-C4C5-4C44-A1F9-820475ED014A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</text>
    </comment>
    <comment ref="M4" authorId="0" shapeId="0" xr:uid="{F323BB95-2397-4B07-88BA-32D97FA8B420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</text>
    </comment>
    <comment ref="N4" authorId="0" shapeId="0" xr:uid="{014C866C-2427-4E26-BF9E-B847D1DBB273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</text>
    </comment>
    <comment ref="P4" authorId="0" shapeId="0" xr:uid="{ED4B38B6-BA0F-4686-A004-DD6E94EE5B6C}">
      <text>
        <r>
          <rPr>
            <b/>
            <sz val="9"/>
            <color indexed="81"/>
            <rFont val="Tahoma"/>
            <family val="2"/>
          </rPr>
          <t>Calculo automatico no tocar datos de esta Columna</t>
        </r>
      </text>
    </comment>
  </commentList>
</comments>
</file>

<file path=xl/sharedStrings.xml><?xml version="1.0" encoding="utf-8"?>
<sst xmlns="http://schemas.openxmlformats.org/spreadsheetml/2006/main" count="130" uniqueCount="94">
  <si>
    <t>CONTROL DE DECLARACIONES MENSUALES - BASE DE CLIENTES REAL</t>
  </si>
  <si>
    <t>Se mantiene tu misma estructura (Contribuyente, RUC, Envío AFP, Fecha DJ Plame, Fecha Envío Sire,</t>
  </si>
  <si>
    <t>Fecha Envío DJ 621), con 3 mejoras:</t>
  </si>
  <si>
    <t>1) Se agregó una columna 'Fecha Límite' junto a cada 'Fecha Envío': para PLAME, DJ 621 y SIRE se</t>
  </si>
  <si>
    <t xml:space="preserve">   calcula SOLA (cruza el cronograma oficial de SUNAT con el último dígito del RUC de cada cliente).</t>
  </si>
  <si>
    <t xml:space="preserve">   Para AFP solo escribes la fecha límite manualmente cada mes (5 primeros días hábiles, varía</t>
  </si>
  <si>
    <t xml:space="preserve">   por feriados).</t>
  </si>
  <si>
    <t>2) Se agregó una columna 'Estado' junto a cada obligación: se pone verde (A TIEMPO), rojo</t>
  </si>
  <si>
    <t xml:space="preserve">   (ATRASADO) o naranja (PENDIENTE) automáticamente.</t>
  </si>
  <si>
    <t>3) Arriba de la tabla hay una celda 'Periodo Tributario a Controlar' (por ejemplo 'Jun-2026').</t>
  </si>
  <si>
    <t xml:space="preserve">   Cambia esa celda cada mes y TODAS las fechas límite de la tabla se recalculan solas para ese mes.</t>
  </si>
  <si>
    <t>Recomendación de uso mensual: al cerrar el mes, duplica la hoja 'Control Clientes' (clic derecho</t>
  </si>
  <si>
    <t>sobre la pestaña &gt; Mover o copiar &gt; Crear una copia), renómbrala con el mes (ej. 'Jul-2026'),</t>
  </si>
  <si>
    <t>cambia el periodo arriba y borra las fechas de envío para empezar de cero. Así conservas el</t>
  </si>
  <si>
    <t>historial de cada mes en su propia pestaña.</t>
  </si>
  <si>
    <t>La hoja 'Cronograma Base 2026' trae las fechas oficiales de SUNAT (Obligaciones Mensuales y</t>
  </si>
  <si>
    <t>Atraso de Registros Electrónicos). Si SUNAT publica un cronograma nuevo, actualízala ahí y el</t>
  </si>
  <si>
    <t>resto del archivo se ajusta solo.</t>
  </si>
  <si>
    <t>Clave (auto)</t>
  </si>
  <si>
    <t>Periodo Tributario</t>
  </si>
  <si>
    <t>Obligación</t>
  </si>
  <si>
    <t>0</t>
  </si>
  <si>
    <t>1</t>
  </si>
  <si>
    <t>2 y 3</t>
  </si>
  <si>
    <t>4 y 5</t>
  </si>
  <si>
    <t>6 y 7</t>
  </si>
  <si>
    <t>8 y 9</t>
  </si>
  <si>
    <t>Buenos Contribuyentes</t>
  </si>
  <si>
    <t>Ene-2026|PDT 621 / PLAME</t>
  </si>
  <si>
    <t>Ene-2026</t>
  </si>
  <si>
    <t>PDT 621 / PLAME</t>
  </si>
  <si>
    <t>Feb-2026|PDT 621 / PLAME</t>
  </si>
  <si>
    <t>Feb-2026</t>
  </si>
  <si>
    <t>Mar-2026|PDT 621 / PLAME</t>
  </si>
  <si>
    <t>Mar-2026</t>
  </si>
  <si>
    <t>Abr-2026|PDT 621 / PLAME</t>
  </si>
  <si>
    <t>Abr-2026</t>
  </si>
  <si>
    <t>May-2026|PDT 621 / PLAME</t>
  </si>
  <si>
    <t>May-2026</t>
  </si>
  <si>
    <t>Jun-2026|PDT 621 / PLAME</t>
  </si>
  <si>
    <t>Jun-2026</t>
  </si>
  <si>
    <t>Jul-2026|PDT 621 / PLAME</t>
  </si>
  <si>
    <t>Jul-2026</t>
  </si>
  <si>
    <t>Ago-2026|PDT 621 / PLAME</t>
  </si>
  <si>
    <t>Ago-2026</t>
  </si>
  <si>
    <t>Set-2026|PDT 621 / PLAME</t>
  </si>
  <si>
    <t>Set-2026</t>
  </si>
  <si>
    <t>Oct-2026|PDT 621 / PLAME</t>
  </si>
  <si>
    <t>Oct-2026</t>
  </si>
  <si>
    <t>Nov-2026|PDT 621 / PLAME</t>
  </si>
  <si>
    <t>Nov-2026</t>
  </si>
  <si>
    <t>Dic-2026|PDT 621 / PLAME</t>
  </si>
  <si>
    <t>Dic-2026</t>
  </si>
  <si>
    <t>Ene-2026|SIRE (Compras/Ventas)</t>
  </si>
  <si>
    <t>SIRE (Compras/Ventas)</t>
  </si>
  <si>
    <t>Feb-2026|SIRE (Compras/Ventas)</t>
  </si>
  <si>
    <t>Mar-2026|SIRE (Compras/Ventas)</t>
  </si>
  <si>
    <t>Abr-2026|SIRE (Compras/Ventas)</t>
  </si>
  <si>
    <t>May-2026|SIRE (Compras/Ventas)</t>
  </si>
  <si>
    <t>Jun-2026|SIRE (Compras/Ventas)</t>
  </si>
  <si>
    <t>Jul-2026|SIRE (Compras/Ventas)</t>
  </si>
  <si>
    <t>Ago-2026|SIRE (Compras/Ventas)</t>
  </si>
  <si>
    <t>Set-2026|SIRE (Compras/Ventas)</t>
  </si>
  <si>
    <t>Oct-2026|SIRE (Compras/Ventas)</t>
  </si>
  <si>
    <t>Nov-2026|SIRE (Compras/Ventas)</t>
  </si>
  <si>
    <t>Dic-2026|SIRE (Compras/Ventas)</t>
  </si>
  <si>
    <t>CONTROL DE DECLARACIONES MENSUALES POR CLIENTE</t>
  </si>
  <si>
    <t>Periodo Tributario a Controlar:</t>
  </si>
  <si>
    <t>N°</t>
  </si>
  <si>
    <t>Grupo RUC
(auto)</t>
  </si>
  <si>
    <t>Fecha Límite
AFP (manual)</t>
  </si>
  <si>
    <t>Fecha Límite
PLAME (auto)</t>
  </si>
  <si>
    <t>Fecha Límite
SIRE (auto)</t>
  </si>
  <si>
    <t>Fecha Límite
DJ 621 (auto)</t>
  </si>
  <si>
    <t>Observaciones</t>
  </si>
  <si>
    <t>RESUMEN DEL MES SELECCIONADO EN 'Control Clientes'</t>
  </si>
  <si>
    <t>A Tiempo</t>
  </si>
  <si>
    <t>Atrasados</t>
  </si>
  <si>
    <t>Pendientes</t>
  </si>
  <si>
    <t>AFP</t>
  </si>
  <si>
    <t>PLAME</t>
  </si>
  <si>
    <t>SIRE</t>
  </si>
  <si>
    <t>DJ 621</t>
  </si>
  <si>
    <t>Nombre del Contribuyente</t>
  </si>
  <si>
    <t>N° RUC</t>
  </si>
  <si>
    <t>NO TOCAR</t>
  </si>
  <si>
    <t>Fecha Envío
PLAME(Manual)</t>
  </si>
  <si>
    <t>Fecha Envío
SIRE (Manual)</t>
  </si>
  <si>
    <t>Fecha Envío
DJ 621(Manual)</t>
  </si>
  <si>
    <t>Fecha Envío
AFP(Manua)</t>
  </si>
  <si>
    <t>Estado
AFP(Auto)</t>
  </si>
  <si>
    <t>Estado
PLAME (Auto)</t>
  </si>
  <si>
    <t>Estado
SIRE(Auto)</t>
  </si>
  <si>
    <t>Estado
DJ 621(Auto)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</si>
</sst>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13"/>
      <color rgb="FF1F4E78"/>
      <name val="Arial"/>
      <charset val="1"/>
    </font>
    <font>
      <b/>
      <sz val="11"/>
      <color rgb="FF1F4E78"/>
      <name val="Arial Narrow"/>
      <family val="2"/>
    </font>
    <font>
      <sz val="11"/>
      <color theme="1"/>
      <name val="Arial Narrow"/>
      <family val="2"/>
    </font>
    <font>
      <b/>
      <sz val="11"/>
      <name val="Arial Narrow"/>
      <family val="2"/>
    </font>
    <font>
      <b/>
      <i/>
      <sz val="11"/>
      <name val="Arial Narrow"/>
      <family val="2"/>
    </font>
    <font>
      <b/>
      <sz val="11"/>
      <color rgb="FFFFFFFF"/>
      <name val="Arial Narrow"/>
      <family val="2"/>
    </font>
    <font>
      <b/>
      <sz val="28"/>
      <color theme="1"/>
      <name val="Calibri"/>
      <family val="2"/>
    </font>
    <font>
      <b/>
      <sz val="9"/>
      <color theme="0"/>
      <name val="Arial"/>
      <family val="2"/>
    </font>
    <font>
      <sz val="11"/>
      <color theme="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rgb="FF003366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5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3" borderId="1" xfId="0" applyNumberFormat="1" applyFont="1" applyFill="1" applyBorder="1"/>
    <xf numFmtId="164" fontId="6" fillId="0" borderId="1" xfId="0" applyNumberFormat="1" applyFont="1" applyBorder="1"/>
    <xf numFmtId="0" fontId="6" fillId="4" borderId="0" xfId="0" applyFont="1" applyFill="1"/>
    <xf numFmtId="0" fontId="10" fillId="5" borderId="0" xfId="0" applyFont="1" applyFill="1" applyAlignment="1">
      <alignment horizontal="center"/>
    </xf>
    <xf numFmtId="0" fontId="11" fillId="6" borderId="1" xfId="0" applyFont="1" applyFill="1" applyBorder="1" applyAlignment="1">
      <alignment horizontal="center" vertical="center" wrapText="1"/>
    </xf>
    <xf numFmtId="0" fontId="12" fillId="7" borderId="0" xfId="0" applyFont="1" applyFill="1"/>
    <xf numFmtId="164" fontId="12" fillId="7" borderId="0" xfId="0" applyNumberFormat="1" applyFont="1" applyFill="1"/>
    <xf numFmtId="0" fontId="1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Normal="100" workbookViewId="0">
      <selection activeCell="A27" sqref="A27"/>
    </sheetView>
  </sheetViews>
  <sheetFormatPr baseColWidth="10" defaultColWidth="8.625" defaultRowHeight="14.3" x14ac:dyDescent="0.25"/>
  <cols>
    <col min="1" max="1" width="112" customWidth="1"/>
  </cols>
  <sheetData>
    <row r="1" spans="1:6" ht="18.350000000000001" x14ac:dyDescent="0.3">
      <c r="A1" s="3" t="s">
        <v>0</v>
      </c>
      <c r="B1" s="3"/>
      <c r="C1" s="3"/>
      <c r="D1" s="3"/>
      <c r="E1" s="3"/>
      <c r="F1" s="3"/>
    </row>
    <row r="2" spans="1:6" x14ac:dyDescent="0.25">
      <c r="A2" s="1"/>
    </row>
    <row r="3" spans="1:6" x14ac:dyDescent="0.25">
      <c r="A3" s="1" t="s">
        <v>1</v>
      </c>
    </row>
    <row r="4" spans="1:6" x14ac:dyDescent="0.25">
      <c r="A4" s="1" t="s">
        <v>2</v>
      </c>
    </row>
    <row r="5" spans="1:6" x14ac:dyDescent="0.25">
      <c r="A5" s="1"/>
    </row>
    <row r="6" spans="1:6" x14ac:dyDescent="0.25">
      <c r="A6" s="1" t="s">
        <v>3</v>
      </c>
    </row>
    <row r="7" spans="1:6" x14ac:dyDescent="0.25">
      <c r="A7" s="1" t="s">
        <v>4</v>
      </c>
    </row>
    <row r="8" spans="1:6" x14ac:dyDescent="0.25">
      <c r="A8" s="1" t="s">
        <v>5</v>
      </c>
    </row>
    <row r="9" spans="1:6" x14ac:dyDescent="0.25">
      <c r="A9" s="1" t="s">
        <v>6</v>
      </c>
    </row>
    <row r="10" spans="1:6" x14ac:dyDescent="0.25">
      <c r="A10" s="1"/>
    </row>
    <row r="11" spans="1:6" x14ac:dyDescent="0.25">
      <c r="A11" s="1" t="s">
        <v>7</v>
      </c>
    </row>
    <row r="12" spans="1:6" x14ac:dyDescent="0.25">
      <c r="A12" s="1" t="s">
        <v>8</v>
      </c>
    </row>
    <row r="13" spans="1:6" x14ac:dyDescent="0.25">
      <c r="A13" s="1"/>
    </row>
    <row r="14" spans="1:6" x14ac:dyDescent="0.25">
      <c r="A14" s="1" t="s">
        <v>9</v>
      </c>
    </row>
    <row r="15" spans="1:6" x14ac:dyDescent="0.25">
      <c r="A15" s="1" t="s">
        <v>10</v>
      </c>
    </row>
    <row r="16" spans="1:6" x14ac:dyDescent="0.25">
      <c r="A16" s="1"/>
    </row>
    <row r="17" spans="1:1" x14ac:dyDescent="0.25">
      <c r="A17" s="1" t="s">
        <v>11</v>
      </c>
    </row>
    <row r="18" spans="1:1" x14ac:dyDescent="0.25">
      <c r="A18" s="1" t="s">
        <v>12</v>
      </c>
    </row>
    <row r="19" spans="1:1" x14ac:dyDescent="0.25">
      <c r="A19" s="1" t="s">
        <v>13</v>
      </c>
    </row>
    <row r="20" spans="1:1" x14ac:dyDescent="0.25">
      <c r="A20" s="1" t="s">
        <v>14</v>
      </c>
    </row>
    <row r="21" spans="1:1" x14ac:dyDescent="0.25">
      <c r="A21" s="1"/>
    </row>
    <row r="22" spans="1:1" x14ac:dyDescent="0.25">
      <c r="A22" s="1" t="s">
        <v>15</v>
      </c>
    </row>
    <row r="23" spans="1:1" x14ac:dyDescent="0.25">
      <c r="A23" s="1" t="s">
        <v>16</v>
      </c>
    </row>
    <row r="24" spans="1:1" x14ac:dyDescent="0.25">
      <c r="A24" s="1" t="s">
        <v>17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zoomScaleNormal="100" workbookViewId="0">
      <pane ySplit="1" topLeftCell="A2" activePane="bottomLeft" state="frozen"/>
      <selection pane="bottomLeft" activeCell="F10" sqref="F10:F11"/>
    </sheetView>
  </sheetViews>
  <sheetFormatPr baseColWidth="10" defaultColWidth="8.625" defaultRowHeight="14.3" x14ac:dyDescent="0.25"/>
  <cols>
    <col min="1" max="1" width="28" customWidth="1"/>
    <col min="2" max="2" width="14" customWidth="1"/>
    <col min="3" max="3" width="22" customWidth="1"/>
    <col min="4" max="9" width="12" customWidth="1"/>
    <col min="10" max="10" width="20" customWidth="1"/>
  </cols>
  <sheetData>
    <row r="1" spans="1:10" ht="23.1" x14ac:dyDescent="0.25">
      <c r="A1" s="16" t="s">
        <v>18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</row>
    <row r="2" spans="1:10" x14ac:dyDescent="0.25">
      <c r="A2" s="17" t="s">
        <v>28</v>
      </c>
      <c r="B2" s="17" t="s">
        <v>29</v>
      </c>
      <c r="C2" s="17" t="s">
        <v>30</v>
      </c>
      <c r="D2" s="18">
        <v>46069</v>
      </c>
      <c r="E2" s="18">
        <v>46070</v>
      </c>
      <c r="F2" s="18">
        <v>46071</v>
      </c>
      <c r="G2" s="18">
        <v>46072</v>
      </c>
      <c r="H2" s="18">
        <v>46073</v>
      </c>
      <c r="I2" s="18">
        <v>46076</v>
      </c>
      <c r="J2" s="18">
        <v>46077</v>
      </c>
    </row>
    <row r="3" spans="1:10" x14ac:dyDescent="0.25">
      <c r="A3" s="17" t="s">
        <v>31</v>
      </c>
      <c r="B3" s="17" t="s">
        <v>32</v>
      </c>
      <c r="C3" s="17" t="s">
        <v>30</v>
      </c>
      <c r="D3" s="18">
        <v>46097</v>
      </c>
      <c r="E3" s="18">
        <v>46098</v>
      </c>
      <c r="F3" s="18">
        <v>46099</v>
      </c>
      <c r="G3" s="18">
        <v>46100</v>
      </c>
      <c r="H3" s="18">
        <v>46101</v>
      </c>
      <c r="I3" s="18">
        <v>46104</v>
      </c>
      <c r="J3" s="18">
        <v>46105</v>
      </c>
    </row>
    <row r="4" spans="1:10" x14ac:dyDescent="0.25">
      <c r="A4" s="17" t="s">
        <v>33</v>
      </c>
      <c r="B4" s="17" t="s">
        <v>34</v>
      </c>
      <c r="C4" s="17" t="s">
        <v>30</v>
      </c>
      <c r="D4" s="18">
        <v>46129</v>
      </c>
      <c r="E4" s="18">
        <v>46132</v>
      </c>
      <c r="F4" s="18">
        <v>46133</v>
      </c>
      <c r="G4" s="18">
        <v>46134</v>
      </c>
      <c r="H4" s="18">
        <v>46135</v>
      </c>
      <c r="I4" s="18">
        <v>46136</v>
      </c>
      <c r="J4" s="18">
        <v>46139</v>
      </c>
    </row>
    <row r="5" spans="1:10" x14ac:dyDescent="0.25">
      <c r="A5" s="17" t="s">
        <v>35</v>
      </c>
      <c r="B5" s="17" t="s">
        <v>36</v>
      </c>
      <c r="C5" s="17" t="s">
        <v>30</v>
      </c>
      <c r="D5" s="18">
        <v>46160</v>
      </c>
      <c r="E5" s="18">
        <v>46161</v>
      </c>
      <c r="F5" s="18">
        <v>46162</v>
      </c>
      <c r="G5" s="18">
        <v>46163</v>
      </c>
      <c r="H5" s="18">
        <v>46164</v>
      </c>
      <c r="I5" s="18">
        <v>46167</v>
      </c>
      <c r="J5" s="18">
        <v>46168</v>
      </c>
    </row>
    <row r="6" spans="1:10" x14ac:dyDescent="0.25">
      <c r="A6" s="17" t="s">
        <v>37</v>
      </c>
      <c r="B6" s="17" t="s">
        <v>38</v>
      </c>
      <c r="C6" s="17" t="s">
        <v>30</v>
      </c>
      <c r="D6" s="18">
        <v>46188</v>
      </c>
      <c r="E6" s="18">
        <v>46189</v>
      </c>
      <c r="F6" s="18">
        <v>46190</v>
      </c>
      <c r="G6" s="18">
        <v>46191</v>
      </c>
      <c r="H6" s="18">
        <v>46192</v>
      </c>
      <c r="I6" s="18">
        <v>46195</v>
      </c>
      <c r="J6" s="18">
        <v>46196</v>
      </c>
    </row>
    <row r="7" spans="1:10" x14ac:dyDescent="0.25">
      <c r="A7" s="17" t="s">
        <v>39</v>
      </c>
      <c r="B7" s="17" t="s">
        <v>40</v>
      </c>
      <c r="C7" s="17" t="s">
        <v>30</v>
      </c>
      <c r="D7" s="18">
        <v>46218</v>
      </c>
      <c r="E7" s="18">
        <v>46219</v>
      </c>
      <c r="F7" s="18">
        <v>46220</v>
      </c>
      <c r="G7" s="18">
        <v>46223</v>
      </c>
      <c r="H7" s="18">
        <v>46224</v>
      </c>
      <c r="I7" s="18">
        <v>46225</v>
      </c>
      <c r="J7" s="18">
        <v>46227</v>
      </c>
    </row>
    <row r="8" spans="1:10" x14ac:dyDescent="0.25">
      <c r="A8" s="17" t="s">
        <v>41</v>
      </c>
      <c r="B8" s="17" t="s">
        <v>42</v>
      </c>
      <c r="C8" s="17" t="s">
        <v>30</v>
      </c>
      <c r="D8" s="18">
        <v>46252</v>
      </c>
      <c r="E8" s="18">
        <v>46253</v>
      </c>
      <c r="F8" s="18">
        <v>46254</v>
      </c>
      <c r="G8" s="18">
        <v>46255</v>
      </c>
      <c r="H8" s="18">
        <v>46258</v>
      </c>
      <c r="I8" s="18">
        <v>46259</v>
      </c>
      <c r="J8" s="18">
        <v>46260</v>
      </c>
    </row>
    <row r="9" spans="1:10" x14ac:dyDescent="0.25">
      <c r="A9" s="17" t="s">
        <v>43</v>
      </c>
      <c r="B9" s="17" t="s">
        <v>44</v>
      </c>
      <c r="C9" s="17" t="s">
        <v>30</v>
      </c>
      <c r="D9" s="18">
        <v>46280</v>
      </c>
      <c r="E9" s="18">
        <v>46281</v>
      </c>
      <c r="F9" s="18">
        <v>46282</v>
      </c>
      <c r="G9" s="18">
        <v>46283</v>
      </c>
      <c r="H9" s="18">
        <v>46286</v>
      </c>
      <c r="I9" s="18">
        <v>46287</v>
      </c>
      <c r="J9" s="18">
        <v>46288</v>
      </c>
    </row>
    <row r="10" spans="1:10" x14ac:dyDescent="0.25">
      <c r="A10" s="17" t="s">
        <v>45</v>
      </c>
      <c r="B10" s="17" t="s">
        <v>46</v>
      </c>
      <c r="C10" s="17" t="s">
        <v>30</v>
      </c>
      <c r="D10" s="18">
        <v>46311</v>
      </c>
      <c r="E10" s="18">
        <v>46314</v>
      </c>
      <c r="F10" s="18">
        <v>46315</v>
      </c>
      <c r="G10" s="18">
        <v>46316</v>
      </c>
      <c r="H10" s="18">
        <v>46317</v>
      </c>
      <c r="I10" s="18">
        <v>46318</v>
      </c>
      <c r="J10" s="18">
        <v>46321</v>
      </c>
    </row>
    <row r="11" spans="1:10" x14ac:dyDescent="0.25">
      <c r="A11" s="17" t="s">
        <v>47</v>
      </c>
      <c r="B11" s="17" t="s">
        <v>48</v>
      </c>
      <c r="C11" s="17" t="s">
        <v>30</v>
      </c>
      <c r="D11" s="18">
        <v>46342</v>
      </c>
      <c r="E11" s="18">
        <v>46343</v>
      </c>
      <c r="F11" s="18">
        <v>46344</v>
      </c>
      <c r="G11" s="18">
        <v>46345</v>
      </c>
      <c r="H11" s="18">
        <v>46346</v>
      </c>
      <c r="I11" s="18">
        <v>46349</v>
      </c>
      <c r="J11" s="18">
        <v>46350</v>
      </c>
    </row>
    <row r="12" spans="1:10" x14ac:dyDescent="0.25">
      <c r="A12" s="17" t="s">
        <v>49</v>
      </c>
      <c r="B12" s="17" t="s">
        <v>50</v>
      </c>
      <c r="C12" s="17" t="s">
        <v>30</v>
      </c>
      <c r="D12" s="18">
        <v>46373</v>
      </c>
      <c r="E12" s="18">
        <v>46374</v>
      </c>
      <c r="F12" s="18">
        <v>46377</v>
      </c>
      <c r="G12" s="18">
        <v>46378</v>
      </c>
      <c r="H12" s="18">
        <v>46379</v>
      </c>
      <c r="I12" s="18">
        <v>46380</v>
      </c>
      <c r="J12" s="18">
        <v>46384</v>
      </c>
    </row>
    <row r="13" spans="1:10" x14ac:dyDescent="0.25">
      <c r="A13" s="17" t="s">
        <v>51</v>
      </c>
      <c r="B13" s="17" t="s">
        <v>52</v>
      </c>
      <c r="C13" s="17" t="s">
        <v>30</v>
      </c>
      <c r="D13" s="18">
        <v>46405</v>
      </c>
      <c r="E13" s="18">
        <v>46406</v>
      </c>
      <c r="F13" s="18">
        <v>46407</v>
      </c>
      <c r="G13" s="18">
        <v>46408</v>
      </c>
      <c r="H13" s="18">
        <v>46409</v>
      </c>
      <c r="I13" s="18">
        <v>46412</v>
      </c>
      <c r="J13" s="18">
        <v>46413</v>
      </c>
    </row>
    <row r="14" spans="1:10" x14ac:dyDescent="0.25">
      <c r="A14" s="17" t="s">
        <v>53</v>
      </c>
      <c r="B14" s="17" t="s">
        <v>29</v>
      </c>
      <c r="C14" s="17" t="s">
        <v>54</v>
      </c>
      <c r="D14" s="18">
        <v>46066</v>
      </c>
      <c r="E14" s="18">
        <v>46069</v>
      </c>
      <c r="F14" s="18">
        <v>46070</v>
      </c>
      <c r="G14" s="18">
        <v>46071</v>
      </c>
      <c r="H14" s="18">
        <v>46072</v>
      </c>
      <c r="I14" s="18">
        <v>46073</v>
      </c>
      <c r="J14" s="18">
        <v>46076</v>
      </c>
    </row>
    <row r="15" spans="1:10" x14ac:dyDescent="0.25">
      <c r="A15" s="17" t="s">
        <v>55</v>
      </c>
      <c r="B15" s="17" t="s">
        <v>32</v>
      </c>
      <c r="C15" s="17" t="s">
        <v>54</v>
      </c>
      <c r="D15" s="18">
        <v>46094</v>
      </c>
      <c r="E15" s="18">
        <v>46097</v>
      </c>
      <c r="F15" s="18">
        <v>46098</v>
      </c>
      <c r="G15" s="18">
        <v>46099</v>
      </c>
      <c r="H15" s="18">
        <v>46100</v>
      </c>
      <c r="I15" s="18">
        <v>46101</v>
      </c>
      <c r="J15" s="18">
        <v>46104</v>
      </c>
    </row>
    <row r="16" spans="1:10" x14ac:dyDescent="0.25">
      <c r="A16" s="17" t="s">
        <v>56</v>
      </c>
      <c r="B16" s="17" t="s">
        <v>34</v>
      </c>
      <c r="C16" s="17" t="s">
        <v>54</v>
      </c>
      <c r="D16" s="18">
        <v>46128</v>
      </c>
      <c r="E16" s="18">
        <v>46129</v>
      </c>
      <c r="F16" s="18">
        <v>46132</v>
      </c>
      <c r="G16" s="18">
        <v>46133</v>
      </c>
      <c r="H16" s="18">
        <v>46134</v>
      </c>
      <c r="I16" s="18">
        <v>46135</v>
      </c>
      <c r="J16" s="18">
        <v>46136</v>
      </c>
    </row>
    <row r="17" spans="1:10" x14ac:dyDescent="0.25">
      <c r="A17" s="17" t="s">
        <v>57</v>
      </c>
      <c r="B17" s="17" t="s">
        <v>36</v>
      </c>
      <c r="C17" s="17" t="s">
        <v>54</v>
      </c>
      <c r="D17" s="18">
        <v>46157</v>
      </c>
      <c r="E17" s="18">
        <v>46160</v>
      </c>
      <c r="F17" s="18">
        <v>46161</v>
      </c>
      <c r="G17" s="18">
        <v>46162</v>
      </c>
      <c r="H17" s="18">
        <v>46163</v>
      </c>
      <c r="I17" s="18">
        <v>46164</v>
      </c>
      <c r="J17" s="18">
        <v>46167</v>
      </c>
    </row>
    <row r="18" spans="1:10" x14ac:dyDescent="0.25">
      <c r="A18" s="17" t="s">
        <v>58</v>
      </c>
      <c r="B18" s="17" t="s">
        <v>38</v>
      </c>
      <c r="C18" s="17" t="s">
        <v>54</v>
      </c>
      <c r="D18" s="18">
        <v>46185</v>
      </c>
      <c r="E18" s="18">
        <v>46188</v>
      </c>
      <c r="F18" s="18">
        <v>46189</v>
      </c>
      <c r="G18" s="18">
        <v>46190</v>
      </c>
      <c r="H18" s="18">
        <v>46191</v>
      </c>
      <c r="I18" s="18">
        <v>46192</v>
      </c>
      <c r="J18" s="18">
        <v>46195</v>
      </c>
    </row>
    <row r="19" spans="1:10" x14ac:dyDescent="0.25">
      <c r="A19" s="17" t="s">
        <v>59</v>
      </c>
      <c r="B19" s="17" t="s">
        <v>40</v>
      </c>
      <c r="C19" s="17" t="s">
        <v>54</v>
      </c>
      <c r="D19" s="18">
        <v>46217</v>
      </c>
      <c r="E19" s="18">
        <v>46218</v>
      </c>
      <c r="F19" s="18">
        <v>46219</v>
      </c>
      <c r="G19" s="18">
        <v>46220</v>
      </c>
      <c r="H19" s="18">
        <v>46223</v>
      </c>
      <c r="I19" s="18">
        <v>46224</v>
      </c>
      <c r="J19" s="18">
        <v>46225</v>
      </c>
    </row>
    <row r="20" spans="1:10" x14ac:dyDescent="0.25">
      <c r="A20" s="17" t="s">
        <v>60</v>
      </c>
      <c r="B20" s="17" t="s">
        <v>42</v>
      </c>
      <c r="C20" s="17" t="s">
        <v>54</v>
      </c>
      <c r="D20" s="18">
        <v>46251</v>
      </c>
      <c r="E20" s="18">
        <v>46252</v>
      </c>
      <c r="F20" s="18">
        <v>46253</v>
      </c>
      <c r="G20" s="18">
        <v>46254</v>
      </c>
      <c r="H20" s="18">
        <v>46255</v>
      </c>
      <c r="I20" s="18">
        <v>46258</v>
      </c>
      <c r="J20" s="18">
        <v>46259</v>
      </c>
    </row>
    <row r="21" spans="1:10" x14ac:dyDescent="0.25">
      <c r="A21" s="17" t="s">
        <v>61</v>
      </c>
      <c r="B21" s="17" t="s">
        <v>44</v>
      </c>
      <c r="C21" s="17" t="s">
        <v>54</v>
      </c>
      <c r="D21" s="18">
        <v>46279</v>
      </c>
      <c r="E21" s="18">
        <v>46280</v>
      </c>
      <c r="F21" s="18">
        <v>46281</v>
      </c>
      <c r="G21" s="18">
        <v>46282</v>
      </c>
      <c r="H21" s="18">
        <v>46283</v>
      </c>
      <c r="I21" s="18">
        <v>46286</v>
      </c>
      <c r="J21" s="18">
        <v>46287</v>
      </c>
    </row>
    <row r="22" spans="1:10" x14ac:dyDescent="0.25">
      <c r="A22" s="17" t="s">
        <v>62</v>
      </c>
      <c r="B22" s="17" t="s">
        <v>46</v>
      </c>
      <c r="C22" s="17" t="s">
        <v>54</v>
      </c>
      <c r="D22" s="18">
        <v>46310</v>
      </c>
      <c r="E22" s="18">
        <v>46311</v>
      </c>
      <c r="F22" s="18">
        <v>46314</v>
      </c>
      <c r="G22" s="18">
        <v>46315</v>
      </c>
      <c r="H22" s="18">
        <v>46316</v>
      </c>
      <c r="I22" s="18">
        <v>46317</v>
      </c>
      <c r="J22" s="18">
        <v>46318</v>
      </c>
    </row>
    <row r="23" spans="1:10" x14ac:dyDescent="0.25">
      <c r="A23" s="17" t="s">
        <v>63</v>
      </c>
      <c r="B23" s="17" t="s">
        <v>48</v>
      </c>
      <c r="C23" s="17" t="s">
        <v>54</v>
      </c>
      <c r="D23" s="18">
        <v>46339</v>
      </c>
      <c r="E23" s="18">
        <v>46342</v>
      </c>
      <c r="F23" s="18">
        <v>46343</v>
      </c>
      <c r="G23" s="18">
        <v>46344</v>
      </c>
      <c r="H23" s="18">
        <v>46345</v>
      </c>
      <c r="I23" s="18">
        <v>46346</v>
      </c>
      <c r="J23" s="18">
        <v>46349</v>
      </c>
    </row>
    <row r="24" spans="1:10" x14ac:dyDescent="0.25">
      <c r="A24" s="17" t="s">
        <v>64</v>
      </c>
      <c r="B24" s="17" t="s">
        <v>50</v>
      </c>
      <c r="C24" s="17" t="s">
        <v>54</v>
      </c>
      <c r="D24" s="18">
        <v>46372</v>
      </c>
      <c r="E24" s="18">
        <v>46373</v>
      </c>
      <c r="F24" s="18">
        <v>46374</v>
      </c>
      <c r="G24" s="18">
        <v>46377</v>
      </c>
      <c r="H24" s="18">
        <v>46378</v>
      </c>
      <c r="I24" s="18">
        <v>46379</v>
      </c>
      <c r="J24" s="18">
        <v>46380</v>
      </c>
    </row>
    <row r="25" spans="1:10" x14ac:dyDescent="0.25">
      <c r="A25" s="17" t="s">
        <v>65</v>
      </c>
      <c r="B25" s="17" t="s">
        <v>52</v>
      </c>
      <c r="C25" s="17" t="s">
        <v>54</v>
      </c>
      <c r="D25" s="18">
        <v>46402</v>
      </c>
      <c r="E25" s="18">
        <v>46405</v>
      </c>
      <c r="F25" s="18">
        <v>46406</v>
      </c>
      <c r="G25" s="18">
        <v>46407</v>
      </c>
      <c r="H25" s="18">
        <v>46408</v>
      </c>
      <c r="I25" s="18">
        <v>46409</v>
      </c>
      <c r="J25" s="18">
        <v>46412</v>
      </c>
    </row>
    <row r="28" spans="1:10" x14ac:dyDescent="0.25">
      <c r="A28" s="15" t="s">
        <v>85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</row>
  </sheetData>
  <mergeCells count="1">
    <mergeCell ref="A28:J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4" sqref="P4"/>
    </sheetView>
  </sheetViews>
  <sheetFormatPr baseColWidth="10" defaultColWidth="8.625" defaultRowHeight="14.3" x14ac:dyDescent="0.25"/>
  <cols>
    <col min="1" max="1" width="10" style="14" customWidth="1"/>
    <col min="2" max="2" width="32" style="14" customWidth="1"/>
    <col min="3" max="3" width="14" style="14" customWidth="1"/>
    <col min="4" max="4" width="10" style="14" customWidth="1"/>
    <col min="5" max="5" width="15.25" style="14" customWidth="1"/>
    <col min="6" max="6" width="12" style="14" customWidth="1"/>
    <col min="7" max="7" width="10" style="14" customWidth="1"/>
    <col min="8" max="8" width="12" style="14" customWidth="1"/>
    <col min="9" max="9" width="13.375" style="14" customWidth="1"/>
    <col min="10" max="10" width="10" style="14" customWidth="1"/>
    <col min="11" max="12" width="12" style="14" customWidth="1"/>
    <col min="13" max="13" width="10" style="14" customWidth="1"/>
    <col min="14" max="14" width="12" style="14" customWidth="1"/>
    <col min="15" max="15" width="14.375" style="14" customWidth="1"/>
    <col min="16" max="16" width="10" style="14" customWidth="1"/>
    <col min="17" max="17" width="24" style="14" customWidth="1"/>
    <col min="18" max="16384" width="8.625" style="14"/>
  </cols>
  <sheetData>
    <row r="1" spans="1:17" s="6" customFormat="1" x14ac:dyDescent="0.25">
      <c r="A1" s="5" t="s">
        <v>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6" customFormat="1" x14ac:dyDescent="0.25">
      <c r="A2" s="7" t="s">
        <v>67</v>
      </c>
      <c r="B2" s="7"/>
      <c r="C2" s="7"/>
      <c r="D2" s="8" t="s">
        <v>50</v>
      </c>
      <c r="E2" s="9" t="str">
        <f>IF(COUNTIF('Cronograma Base 2026'!$B$2:$B$25,$D$2)&gt;0,"✓ Periodo válido","⚠ Verifica el periodo (usa el desplegable)")</f>
        <v>✓ Periodo válido</v>
      </c>
      <c r="F2" s="9"/>
      <c r="G2" s="9"/>
      <c r="H2" s="9"/>
    </row>
    <row r="3" spans="1:17" s="6" customFormat="1" x14ac:dyDescent="0.25"/>
    <row r="4" spans="1:17" s="6" customFormat="1" ht="42.8" x14ac:dyDescent="0.25">
      <c r="A4" s="10" t="s">
        <v>68</v>
      </c>
      <c r="B4" s="10" t="s">
        <v>83</v>
      </c>
      <c r="C4" s="10" t="s">
        <v>84</v>
      </c>
      <c r="D4" s="19" t="s">
        <v>69</v>
      </c>
      <c r="E4" s="10" t="s">
        <v>70</v>
      </c>
      <c r="F4" s="10" t="s">
        <v>89</v>
      </c>
      <c r="G4" s="19" t="s">
        <v>90</v>
      </c>
      <c r="H4" s="19" t="s">
        <v>71</v>
      </c>
      <c r="I4" s="10" t="s">
        <v>86</v>
      </c>
      <c r="J4" s="19" t="s">
        <v>91</v>
      </c>
      <c r="K4" s="19" t="s">
        <v>72</v>
      </c>
      <c r="L4" s="10" t="s">
        <v>87</v>
      </c>
      <c r="M4" s="19" t="s">
        <v>92</v>
      </c>
      <c r="N4" s="19" t="s">
        <v>73</v>
      </c>
      <c r="O4" s="10" t="s">
        <v>88</v>
      </c>
      <c r="P4" s="19" t="s">
        <v>93</v>
      </c>
      <c r="Q4" s="10" t="s">
        <v>74</v>
      </c>
    </row>
    <row r="5" spans="1:17" s="6" customFormat="1" x14ac:dyDescent="0.25">
      <c r="A5" s="11">
        <v>1</v>
      </c>
      <c r="B5" s="11"/>
      <c r="C5" s="11"/>
      <c r="D5" s="11" t="str">
        <f t="shared" ref="D5:D27" si="0">IFERROR(IF(VALUE(RIGHT(C5,1))=0,"0",IF(VALUE(RIGHT(C5,1))=1,"1",IF(OR(VALUE(RIGHT(C5,1))=2,VALUE(RIGHT(C5,1))=3),"2 y 3",IF(OR(VALUE(RIGHT(C5,1))=4,VALUE(RIGHT(C5,1))=5),"4 y 5",IF(OR(VALUE(RIGHT(C5,1))=6,VALUE(RIGHT(C5,1))=7),"6 y 7","8 y 9"))))),"")</f>
        <v/>
      </c>
      <c r="E5" s="12"/>
      <c r="F5" s="12"/>
      <c r="G5" s="11" t="str">
        <f t="shared" ref="G5:G27" ca="1" si="1">IF(E5="","",IF(F5="",IF(TODAY()&gt;E5,"ATRASADO","PENDIENTE"),IF(F5&lt;=E5,"A TIEMPO","ATRASADO")))</f>
        <v/>
      </c>
      <c r="H5" s="13" t="str">
        <f>IFERROR(INDEX('Cronograma Base 2026'!$D$2:$J$25,MATCH($D$2&amp;"|PDT 621 / PLAME",'Cronograma Base 2026'!$A$2:$A$25,0),MATCH($D5,'Cronograma Base 2026'!$D$1:$J$1,0)),"")</f>
        <v/>
      </c>
      <c r="I5" s="12"/>
      <c r="J5" s="11" t="str">
        <f t="shared" ref="J5:J27" ca="1" si="2">IF(H5="","",IF(I5="",IF(TODAY()&gt;H5,"ATRASADO","PENDIENTE"),IF(I5&lt;=H5,"A TIEMPO","ATRASADO")))</f>
        <v/>
      </c>
      <c r="K5" s="13" t="str">
        <f>IFERROR(INDEX('Cronograma Base 2026'!$D$2:$J$25,MATCH($D$2&amp;"|SIRE (Compras/Ventas)",'Cronograma Base 2026'!$A$2:$A$25,0),MATCH($D5,'Cronograma Base 2026'!$D$1:$J$1,0)),"")</f>
        <v/>
      </c>
      <c r="L5" s="12"/>
      <c r="M5" s="11" t="str">
        <f t="shared" ref="M5:M27" ca="1" si="3">IF(K5="","",IF(L5="",IF(TODAY()&gt;K5,"ATRASADO","PENDIENTE"),IF(L5&lt;=K5,"A TIEMPO","ATRASADO")))</f>
        <v/>
      </c>
      <c r="N5" s="13" t="str">
        <f t="shared" ref="N5:N27" si="4">H5</f>
        <v/>
      </c>
      <c r="O5" s="12"/>
      <c r="P5" s="11" t="str">
        <f t="shared" ref="P5:P27" ca="1" si="5">IF(N5="","",IF(O5="",IF(TODAY()&gt;N5,"ATRASADO","PENDIENTE"),IF(O5&lt;=N5,"A TIEMPO","ATRASADO")))</f>
        <v/>
      </c>
      <c r="Q5" s="11"/>
    </row>
    <row r="6" spans="1:17" s="6" customFormat="1" x14ac:dyDescent="0.25">
      <c r="A6" s="11">
        <v>2</v>
      </c>
      <c r="B6" s="11"/>
      <c r="C6" s="11"/>
      <c r="D6" s="11" t="str">
        <f t="shared" si="0"/>
        <v/>
      </c>
      <c r="E6" s="12"/>
      <c r="F6" s="12"/>
      <c r="G6" s="11" t="str">
        <f t="shared" ca="1" si="1"/>
        <v/>
      </c>
      <c r="H6" s="13" t="str">
        <f>IFERROR(INDEX('Cronograma Base 2026'!$D$2:$J$25,MATCH($D$2&amp;"|PDT 621 / PLAME",'Cronograma Base 2026'!$A$2:$A$25,0),MATCH($D6,'Cronograma Base 2026'!$D$1:$J$1,0)),"")</f>
        <v/>
      </c>
      <c r="I6" s="12"/>
      <c r="J6" s="11" t="str">
        <f t="shared" ca="1" si="2"/>
        <v/>
      </c>
      <c r="K6" s="13" t="str">
        <f>IFERROR(INDEX('Cronograma Base 2026'!$D$2:$J$25,MATCH($D$2&amp;"|SIRE (Compras/Ventas)",'Cronograma Base 2026'!$A$2:$A$25,0),MATCH($D6,'Cronograma Base 2026'!$D$1:$J$1,0)),"")</f>
        <v/>
      </c>
      <c r="L6" s="12"/>
      <c r="M6" s="11" t="str">
        <f t="shared" ca="1" si="3"/>
        <v/>
      </c>
      <c r="N6" s="13" t="str">
        <f t="shared" si="4"/>
        <v/>
      </c>
      <c r="O6" s="12"/>
      <c r="P6" s="11" t="str">
        <f t="shared" ca="1" si="5"/>
        <v/>
      </c>
      <c r="Q6" s="11"/>
    </row>
    <row r="7" spans="1:17" s="6" customFormat="1" x14ac:dyDescent="0.25">
      <c r="A7" s="11">
        <v>3</v>
      </c>
      <c r="B7" s="11"/>
      <c r="C7" s="11"/>
      <c r="D7" s="11" t="str">
        <f t="shared" si="0"/>
        <v/>
      </c>
      <c r="E7" s="12"/>
      <c r="F7" s="12"/>
      <c r="G7" s="11" t="str">
        <f t="shared" ca="1" si="1"/>
        <v/>
      </c>
      <c r="H7" s="13" t="str">
        <f>IFERROR(INDEX('Cronograma Base 2026'!$D$2:$J$25,MATCH($D$2&amp;"|PDT 621 / PLAME",'Cronograma Base 2026'!$A$2:$A$25,0),MATCH($D7,'Cronograma Base 2026'!$D$1:$J$1,0)),"")</f>
        <v/>
      </c>
      <c r="I7" s="12"/>
      <c r="J7" s="11" t="str">
        <f t="shared" ca="1" si="2"/>
        <v/>
      </c>
      <c r="K7" s="13" t="str">
        <f>IFERROR(INDEX('Cronograma Base 2026'!$D$2:$J$25,MATCH($D$2&amp;"|SIRE (Compras/Ventas)",'Cronograma Base 2026'!$A$2:$A$25,0),MATCH($D7,'Cronograma Base 2026'!$D$1:$J$1,0)),"")</f>
        <v/>
      </c>
      <c r="L7" s="12"/>
      <c r="M7" s="11" t="str">
        <f t="shared" ca="1" si="3"/>
        <v/>
      </c>
      <c r="N7" s="13" t="str">
        <f t="shared" si="4"/>
        <v/>
      </c>
      <c r="O7" s="12"/>
      <c r="P7" s="11" t="str">
        <f t="shared" ca="1" si="5"/>
        <v/>
      </c>
      <c r="Q7" s="11"/>
    </row>
    <row r="8" spans="1:17" s="6" customFormat="1" x14ac:dyDescent="0.25">
      <c r="A8" s="11">
        <v>4</v>
      </c>
      <c r="B8" s="11"/>
      <c r="C8" s="11"/>
      <c r="D8" s="11" t="str">
        <f t="shared" si="0"/>
        <v/>
      </c>
      <c r="E8" s="12"/>
      <c r="F8" s="12"/>
      <c r="G8" s="11" t="str">
        <f t="shared" ca="1" si="1"/>
        <v/>
      </c>
      <c r="H8" s="13" t="str">
        <f>IFERROR(INDEX('Cronograma Base 2026'!$D$2:$J$25,MATCH($D$2&amp;"|PDT 621 / PLAME",'Cronograma Base 2026'!$A$2:$A$25,0),MATCH($D8,'Cronograma Base 2026'!$D$1:$J$1,0)),"")</f>
        <v/>
      </c>
      <c r="I8" s="12"/>
      <c r="J8" s="11" t="str">
        <f t="shared" ca="1" si="2"/>
        <v/>
      </c>
      <c r="K8" s="13" t="str">
        <f>IFERROR(INDEX('Cronograma Base 2026'!$D$2:$J$25,MATCH($D$2&amp;"|SIRE (Compras/Ventas)",'Cronograma Base 2026'!$A$2:$A$25,0),MATCH($D8,'Cronograma Base 2026'!$D$1:$J$1,0)),"")</f>
        <v/>
      </c>
      <c r="L8" s="12"/>
      <c r="M8" s="11" t="str">
        <f t="shared" ca="1" si="3"/>
        <v/>
      </c>
      <c r="N8" s="13" t="str">
        <f t="shared" si="4"/>
        <v/>
      </c>
      <c r="O8" s="12"/>
      <c r="P8" s="11" t="str">
        <f t="shared" ca="1" si="5"/>
        <v/>
      </c>
      <c r="Q8" s="11"/>
    </row>
    <row r="9" spans="1:17" s="6" customFormat="1" x14ac:dyDescent="0.25">
      <c r="A9" s="11">
        <v>5</v>
      </c>
      <c r="B9" s="11"/>
      <c r="C9" s="11"/>
      <c r="D9" s="11" t="str">
        <f t="shared" si="0"/>
        <v/>
      </c>
      <c r="E9" s="12"/>
      <c r="F9" s="12"/>
      <c r="G9" s="11" t="str">
        <f t="shared" ca="1" si="1"/>
        <v/>
      </c>
      <c r="H9" s="13" t="str">
        <f>IFERROR(INDEX('Cronograma Base 2026'!$D$2:$J$25,MATCH($D$2&amp;"|PDT 621 / PLAME",'Cronograma Base 2026'!$A$2:$A$25,0),MATCH($D9,'Cronograma Base 2026'!$D$1:$J$1,0)),"")</f>
        <v/>
      </c>
      <c r="I9" s="12"/>
      <c r="J9" s="11" t="str">
        <f t="shared" ca="1" si="2"/>
        <v/>
      </c>
      <c r="K9" s="13" t="str">
        <f>IFERROR(INDEX('Cronograma Base 2026'!$D$2:$J$25,MATCH($D$2&amp;"|SIRE (Compras/Ventas)",'Cronograma Base 2026'!$A$2:$A$25,0),MATCH($D9,'Cronograma Base 2026'!$D$1:$J$1,0)),"")</f>
        <v/>
      </c>
      <c r="L9" s="12"/>
      <c r="M9" s="11" t="str">
        <f t="shared" ca="1" si="3"/>
        <v/>
      </c>
      <c r="N9" s="13" t="str">
        <f t="shared" si="4"/>
        <v/>
      </c>
      <c r="O9" s="12"/>
      <c r="P9" s="11" t="str">
        <f t="shared" ca="1" si="5"/>
        <v/>
      </c>
      <c r="Q9" s="11"/>
    </row>
    <row r="10" spans="1:17" s="6" customFormat="1" x14ac:dyDescent="0.25">
      <c r="A10" s="11">
        <v>6</v>
      </c>
      <c r="B10" s="11"/>
      <c r="C10" s="11"/>
      <c r="D10" s="11" t="str">
        <f t="shared" si="0"/>
        <v/>
      </c>
      <c r="E10" s="12"/>
      <c r="F10" s="12"/>
      <c r="G10" s="11" t="str">
        <f t="shared" ca="1" si="1"/>
        <v/>
      </c>
      <c r="H10" s="13" t="str">
        <f>IFERROR(INDEX('Cronograma Base 2026'!$D$2:$J$25,MATCH($D$2&amp;"|PDT 621 / PLAME",'Cronograma Base 2026'!$A$2:$A$25,0),MATCH($D10,'Cronograma Base 2026'!$D$1:$J$1,0)),"")</f>
        <v/>
      </c>
      <c r="I10" s="12"/>
      <c r="J10" s="11" t="str">
        <f t="shared" ca="1" si="2"/>
        <v/>
      </c>
      <c r="K10" s="13" t="str">
        <f>IFERROR(INDEX('Cronograma Base 2026'!$D$2:$J$25,MATCH($D$2&amp;"|SIRE (Compras/Ventas)",'Cronograma Base 2026'!$A$2:$A$25,0),MATCH($D10,'Cronograma Base 2026'!$D$1:$J$1,0)),"")</f>
        <v/>
      </c>
      <c r="L10" s="12"/>
      <c r="M10" s="11" t="str">
        <f t="shared" ca="1" si="3"/>
        <v/>
      </c>
      <c r="N10" s="13" t="str">
        <f t="shared" si="4"/>
        <v/>
      </c>
      <c r="O10" s="12"/>
      <c r="P10" s="11" t="str">
        <f t="shared" ca="1" si="5"/>
        <v/>
      </c>
      <c r="Q10" s="11"/>
    </row>
    <row r="11" spans="1:17" s="6" customFormat="1" x14ac:dyDescent="0.25">
      <c r="A11" s="11">
        <v>7</v>
      </c>
      <c r="B11" s="11"/>
      <c r="C11" s="11"/>
      <c r="D11" s="11" t="str">
        <f t="shared" si="0"/>
        <v/>
      </c>
      <c r="E11" s="12"/>
      <c r="F11" s="12"/>
      <c r="G11" s="11" t="str">
        <f t="shared" ca="1" si="1"/>
        <v/>
      </c>
      <c r="H11" s="13" t="str">
        <f>IFERROR(INDEX('Cronograma Base 2026'!$D$2:$J$25,MATCH($D$2&amp;"|PDT 621 / PLAME",'Cronograma Base 2026'!$A$2:$A$25,0),MATCH($D11,'Cronograma Base 2026'!$D$1:$J$1,0)),"")</f>
        <v/>
      </c>
      <c r="I11" s="12"/>
      <c r="J11" s="11" t="str">
        <f t="shared" ca="1" si="2"/>
        <v/>
      </c>
      <c r="K11" s="13" t="str">
        <f>IFERROR(INDEX('Cronograma Base 2026'!$D$2:$J$25,MATCH($D$2&amp;"|SIRE (Compras/Ventas)",'Cronograma Base 2026'!$A$2:$A$25,0),MATCH($D11,'Cronograma Base 2026'!$D$1:$J$1,0)),"")</f>
        <v/>
      </c>
      <c r="L11" s="12"/>
      <c r="M11" s="11" t="str">
        <f t="shared" ca="1" si="3"/>
        <v/>
      </c>
      <c r="N11" s="13" t="str">
        <f t="shared" si="4"/>
        <v/>
      </c>
      <c r="O11" s="12"/>
      <c r="P11" s="11" t="str">
        <f t="shared" ca="1" si="5"/>
        <v/>
      </c>
      <c r="Q11" s="11"/>
    </row>
    <row r="12" spans="1:17" s="6" customFormat="1" x14ac:dyDescent="0.25">
      <c r="A12" s="11">
        <v>8</v>
      </c>
      <c r="B12" s="11"/>
      <c r="C12" s="11"/>
      <c r="D12" s="11" t="str">
        <f t="shared" si="0"/>
        <v/>
      </c>
      <c r="E12" s="12"/>
      <c r="F12" s="12"/>
      <c r="G12" s="11" t="str">
        <f t="shared" ca="1" si="1"/>
        <v/>
      </c>
      <c r="H12" s="13" t="str">
        <f>IFERROR(INDEX('Cronograma Base 2026'!$D$2:$J$25,MATCH($D$2&amp;"|PDT 621 / PLAME",'Cronograma Base 2026'!$A$2:$A$25,0),MATCH($D12,'Cronograma Base 2026'!$D$1:$J$1,0)),"")</f>
        <v/>
      </c>
      <c r="I12" s="12"/>
      <c r="J12" s="11" t="str">
        <f t="shared" ca="1" si="2"/>
        <v/>
      </c>
      <c r="K12" s="13" t="str">
        <f>IFERROR(INDEX('Cronograma Base 2026'!$D$2:$J$25,MATCH($D$2&amp;"|SIRE (Compras/Ventas)",'Cronograma Base 2026'!$A$2:$A$25,0),MATCH($D12,'Cronograma Base 2026'!$D$1:$J$1,0)),"")</f>
        <v/>
      </c>
      <c r="L12" s="12"/>
      <c r="M12" s="11" t="str">
        <f t="shared" ca="1" si="3"/>
        <v/>
      </c>
      <c r="N12" s="13" t="str">
        <f t="shared" si="4"/>
        <v/>
      </c>
      <c r="O12" s="12"/>
      <c r="P12" s="11" t="str">
        <f t="shared" ca="1" si="5"/>
        <v/>
      </c>
      <c r="Q12" s="11"/>
    </row>
    <row r="13" spans="1:17" s="6" customFormat="1" x14ac:dyDescent="0.25">
      <c r="A13" s="11">
        <v>9</v>
      </c>
      <c r="B13" s="11"/>
      <c r="C13" s="11"/>
      <c r="D13" s="11" t="str">
        <f t="shared" si="0"/>
        <v/>
      </c>
      <c r="E13" s="12"/>
      <c r="F13" s="12"/>
      <c r="G13" s="11" t="str">
        <f t="shared" ca="1" si="1"/>
        <v/>
      </c>
      <c r="H13" s="13" t="str">
        <f>IFERROR(INDEX('Cronograma Base 2026'!$D$2:$J$25,MATCH($D$2&amp;"|PDT 621 / PLAME",'Cronograma Base 2026'!$A$2:$A$25,0),MATCH($D13,'Cronograma Base 2026'!$D$1:$J$1,0)),"")</f>
        <v/>
      </c>
      <c r="I13" s="12"/>
      <c r="J13" s="11" t="str">
        <f t="shared" ca="1" si="2"/>
        <v/>
      </c>
      <c r="K13" s="13" t="str">
        <f>IFERROR(INDEX('Cronograma Base 2026'!$D$2:$J$25,MATCH($D$2&amp;"|SIRE (Compras/Ventas)",'Cronograma Base 2026'!$A$2:$A$25,0),MATCH($D13,'Cronograma Base 2026'!$D$1:$J$1,0)),"")</f>
        <v/>
      </c>
      <c r="L13" s="12"/>
      <c r="M13" s="11" t="str">
        <f t="shared" ca="1" si="3"/>
        <v/>
      </c>
      <c r="N13" s="13" t="str">
        <f t="shared" si="4"/>
        <v/>
      </c>
      <c r="O13" s="12"/>
      <c r="P13" s="11" t="str">
        <f t="shared" ca="1" si="5"/>
        <v/>
      </c>
      <c r="Q13" s="11"/>
    </row>
    <row r="14" spans="1:17" s="6" customFormat="1" x14ac:dyDescent="0.25">
      <c r="A14" s="11">
        <v>10</v>
      </c>
      <c r="B14" s="11"/>
      <c r="C14" s="11"/>
      <c r="D14" s="11" t="str">
        <f t="shared" si="0"/>
        <v/>
      </c>
      <c r="E14" s="12"/>
      <c r="F14" s="12"/>
      <c r="G14" s="11" t="str">
        <f t="shared" ca="1" si="1"/>
        <v/>
      </c>
      <c r="H14" s="13" t="str">
        <f>IFERROR(INDEX('Cronograma Base 2026'!$D$2:$J$25,MATCH($D$2&amp;"|PDT 621 / PLAME",'Cronograma Base 2026'!$A$2:$A$25,0),MATCH($D14,'Cronograma Base 2026'!$D$1:$J$1,0)),"")</f>
        <v/>
      </c>
      <c r="I14" s="12"/>
      <c r="J14" s="11" t="str">
        <f t="shared" ca="1" si="2"/>
        <v/>
      </c>
      <c r="K14" s="13" t="str">
        <f>IFERROR(INDEX('Cronograma Base 2026'!$D$2:$J$25,MATCH($D$2&amp;"|SIRE (Compras/Ventas)",'Cronograma Base 2026'!$A$2:$A$25,0),MATCH($D14,'Cronograma Base 2026'!$D$1:$J$1,0)),"")</f>
        <v/>
      </c>
      <c r="L14" s="12"/>
      <c r="M14" s="11" t="str">
        <f t="shared" ca="1" si="3"/>
        <v/>
      </c>
      <c r="N14" s="13" t="str">
        <f t="shared" si="4"/>
        <v/>
      </c>
      <c r="O14" s="12"/>
      <c r="P14" s="11" t="str">
        <f t="shared" ca="1" si="5"/>
        <v/>
      </c>
      <c r="Q14" s="11"/>
    </row>
    <row r="15" spans="1:17" s="6" customFormat="1" x14ac:dyDescent="0.25">
      <c r="A15" s="11">
        <v>11</v>
      </c>
      <c r="B15" s="11"/>
      <c r="C15" s="11"/>
      <c r="D15" s="11" t="str">
        <f t="shared" si="0"/>
        <v/>
      </c>
      <c r="E15" s="12"/>
      <c r="F15" s="12"/>
      <c r="G15" s="11" t="str">
        <f t="shared" ca="1" si="1"/>
        <v/>
      </c>
      <c r="H15" s="13" t="str">
        <f>IFERROR(INDEX('Cronograma Base 2026'!$D$2:$J$25,MATCH($D$2&amp;"|PDT 621 / PLAME",'Cronograma Base 2026'!$A$2:$A$25,0),MATCH($D15,'Cronograma Base 2026'!$D$1:$J$1,0)),"")</f>
        <v/>
      </c>
      <c r="I15" s="12"/>
      <c r="J15" s="11" t="str">
        <f t="shared" ca="1" si="2"/>
        <v/>
      </c>
      <c r="K15" s="13" t="str">
        <f>IFERROR(INDEX('Cronograma Base 2026'!$D$2:$J$25,MATCH($D$2&amp;"|SIRE (Compras/Ventas)",'Cronograma Base 2026'!$A$2:$A$25,0),MATCH($D15,'Cronograma Base 2026'!$D$1:$J$1,0)),"")</f>
        <v/>
      </c>
      <c r="L15" s="12"/>
      <c r="M15" s="11" t="str">
        <f t="shared" ca="1" si="3"/>
        <v/>
      </c>
      <c r="N15" s="13" t="str">
        <f t="shared" si="4"/>
        <v/>
      </c>
      <c r="O15" s="12"/>
      <c r="P15" s="11" t="str">
        <f t="shared" ca="1" si="5"/>
        <v/>
      </c>
      <c r="Q15" s="11"/>
    </row>
    <row r="16" spans="1:17" s="6" customFormat="1" x14ac:dyDescent="0.25">
      <c r="A16" s="11">
        <v>12</v>
      </c>
      <c r="B16" s="11"/>
      <c r="C16" s="11"/>
      <c r="D16" s="11" t="str">
        <f t="shared" si="0"/>
        <v/>
      </c>
      <c r="E16" s="12"/>
      <c r="F16" s="12"/>
      <c r="G16" s="11" t="str">
        <f t="shared" ca="1" si="1"/>
        <v/>
      </c>
      <c r="H16" s="13" t="str">
        <f>IFERROR(INDEX('Cronograma Base 2026'!$D$2:$J$25,MATCH($D$2&amp;"|PDT 621 / PLAME",'Cronograma Base 2026'!$A$2:$A$25,0),MATCH($D16,'Cronograma Base 2026'!$D$1:$J$1,0)),"")</f>
        <v/>
      </c>
      <c r="I16" s="12"/>
      <c r="J16" s="11" t="str">
        <f t="shared" ca="1" si="2"/>
        <v/>
      </c>
      <c r="K16" s="13" t="str">
        <f>IFERROR(INDEX('Cronograma Base 2026'!$D$2:$J$25,MATCH($D$2&amp;"|SIRE (Compras/Ventas)",'Cronograma Base 2026'!$A$2:$A$25,0),MATCH($D16,'Cronograma Base 2026'!$D$1:$J$1,0)),"")</f>
        <v/>
      </c>
      <c r="L16" s="12"/>
      <c r="M16" s="11" t="str">
        <f t="shared" ca="1" si="3"/>
        <v/>
      </c>
      <c r="N16" s="13" t="str">
        <f t="shared" si="4"/>
        <v/>
      </c>
      <c r="O16" s="12"/>
      <c r="P16" s="11" t="str">
        <f t="shared" ca="1" si="5"/>
        <v/>
      </c>
      <c r="Q16" s="11"/>
    </row>
    <row r="17" spans="1:17" s="6" customFormat="1" x14ac:dyDescent="0.25">
      <c r="A17" s="11">
        <v>13</v>
      </c>
      <c r="B17" s="11"/>
      <c r="C17" s="11"/>
      <c r="D17" s="11" t="str">
        <f t="shared" si="0"/>
        <v/>
      </c>
      <c r="E17" s="12"/>
      <c r="F17" s="12"/>
      <c r="G17" s="11" t="str">
        <f t="shared" ca="1" si="1"/>
        <v/>
      </c>
      <c r="H17" s="13" t="str">
        <f>IFERROR(INDEX('Cronograma Base 2026'!$D$2:$J$25,MATCH($D$2&amp;"|PDT 621 / PLAME",'Cronograma Base 2026'!$A$2:$A$25,0),MATCH($D17,'Cronograma Base 2026'!$D$1:$J$1,0)),"")</f>
        <v/>
      </c>
      <c r="I17" s="12"/>
      <c r="J17" s="11" t="str">
        <f t="shared" ca="1" si="2"/>
        <v/>
      </c>
      <c r="K17" s="13" t="str">
        <f>IFERROR(INDEX('Cronograma Base 2026'!$D$2:$J$25,MATCH($D$2&amp;"|SIRE (Compras/Ventas)",'Cronograma Base 2026'!$A$2:$A$25,0),MATCH($D17,'Cronograma Base 2026'!$D$1:$J$1,0)),"")</f>
        <v/>
      </c>
      <c r="L17" s="12"/>
      <c r="M17" s="11" t="str">
        <f t="shared" ca="1" si="3"/>
        <v/>
      </c>
      <c r="N17" s="13" t="str">
        <f t="shared" si="4"/>
        <v/>
      </c>
      <c r="O17" s="12"/>
      <c r="P17" s="11" t="str">
        <f t="shared" ca="1" si="5"/>
        <v/>
      </c>
      <c r="Q17" s="11"/>
    </row>
    <row r="18" spans="1:17" s="6" customFormat="1" x14ac:dyDescent="0.25">
      <c r="A18" s="11">
        <v>14</v>
      </c>
      <c r="B18" s="11"/>
      <c r="C18" s="11"/>
      <c r="D18" s="11" t="str">
        <f t="shared" si="0"/>
        <v/>
      </c>
      <c r="E18" s="12"/>
      <c r="F18" s="12"/>
      <c r="G18" s="11" t="str">
        <f t="shared" ca="1" si="1"/>
        <v/>
      </c>
      <c r="H18" s="13" t="str">
        <f>IFERROR(INDEX('Cronograma Base 2026'!$D$2:$J$25,MATCH($D$2&amp;"|PDT 621 / PLAME",'Cronograma Base 2026'!$A$2:$A$25,0),MATCH($D18,'Cronograma Base 2026'!$D$1:$J$1,0)),"")</f>
        <v/>
      </c>
      <c r="I18" s="12"/>
      <c r="J18" s="11" t="str">
        <f t="shared" ca="1" si="2"/>
        <v/>
      </c>
      <c r="K18" s="13" t="str">
        <f>IFERROR(INDEX('Cronograma Base 2026'!$D$2:$J$25,MATCH($D$2&amp;"|SIRE (Compras/Ventas)",'Cronograma Base 2026'!$A$2:$A$25,0),MATCH($D18,'Cronograma Base 2026'!$D$1:$J$1,0)),"")</f>
        <v/>
      </c>
      <c r="L18" s="12"/>
      <c r="M18" s="11" t="str">
        <f t="shared" ca="1" si="3"/>
        <v/>
      </c>
      <c r="N18" s="13" t="str">
        <f t="shared" si="4"/>
        <v/>
      </c>
      <c r="O18" s="12"/>
      <c r="P18" s="11" t="str">
        <f t="shared" ca="1" si="5"/>
        <v/>
      </c>
      <c r="Q18" s="11"/>
    </row>
    <row r="19" spans="1:17" s="6" customFormat="1" x14ac:dyDescent="0.25">
      <c r="A19" s="11">
        <v>15</v>
      </c>
      <c r="B19" s="11"/>
      <c r="C19" s="11"/>
      <c r="D19" s="11" t="str">
        <f t="shared" si="0"/>
        <v/>
      </c>
      <c r="E19" s="12"/>
      <c r="F19" s="12"/>
      <c r="G19" s="11" t="str">
        <f t="shared" ca="1" si="1"/>
        <v/>
      </c>
      <c r="H19" s="13" t="str">
        <f>IFERROR(INDEX('Cronograma Base 2026'!$D$2:$J$25,MATCH($D$2&amp;"|PDT 621 / PLAME",'Cronograma Base 2026'!$A$2:$A$25,0),MATCH($D19,'Cronograma Base 2026'!$D$1:$J$1,0)),"")</f>
        <v/>
      </c>
      <c r="I19" s="12"/>
      <c r="J19" s="11" t="str">
        <f t="shared" ca="1" si="2"/>
        <v/>
      </c>
      <c r="K19" s="13" t="str">
        <f>IFERROR(INDEX('Cronograma Base 2026'!$D$2:$J$25,MATCH($D$2&amp;"|SIRE (Compras/Ventas)",'Cronograma Base 2026'!$A$2:$A$25,0),MATCH($D19,'Cronograma Base 2026'!$D$1:$J$1,0)),"")</f>
        <v/>
      </c>
      <c r="L19" s="12"/>
      <c r="M19" s="11" t="str">
        <f t="shared" ca="1" si="3"/>
        <v/>
      </c>
      <c r="N19" s="13" t="str">
        <f t="shared" si="4"/>
        <v/>
      </c>
      <c r="O19" s="12"/>
      <c r="P19" s="11" t="str">
        <f t="shared" ca="1" si="5"/>
        <v/>
      </c>
      <c r="Q19" s="11"/>
    </row>
    <row r="20" spans="1:17" s="6" customFormat="1" x14ac:dyDescent="0.25">
      <c r="A20" s="11">
        <v>16</v>
      </c>
      <c r="B20" s="11"/>
      <c r="C20" s="11"/>
      <c r="D20" s="11" t="str">
        <f t="shared" si="0"/>
        <v/>
      </c>
      <c r="E20" s="12"/>
      <c r="F20" s="12"/>
      <c r="G20" s="11" t="str">
        <f t="shared" ca="1" si="1"/>
        <v/>
      </c>
      <c r="H20" s="13" t="str">
        <f>IFERROR(INDEX('Cronograma Base 2026'!$D$2:$J$25,MATCH($D$2&amp;"|PDT 621 / PLAME",'Cronograma Base 2026'!$A$2:$A$25,0),MATCH($D20,'Cronograma Base 2026'!$D$1:$J$1,0)),"")</f>
        <v/>
      </c>
      <c r="I20" s="12"/>
      <c r="J20" s="11" t="str">
        <f t="shared" ca="1" si="2"/>
        <v/>
      </c>
      <c r="K20" s="13" t="str">
        <f>IFERROR(INDEX('Cronograma Base 2026'!$D$2:$J$25,MATCH($D$2&amp;"|SIRE (Compras/Ventas)",'Cronograma Base 2026'!$A$2:$A$25,0),MATCH($D20,'Cronograma Base 2026'!$D$1:$J$1,0)),"")</f>
        <v/>
      </c>
      <c r="L20" s="12"/>
      <c r="M20" s="11" t="str">
        <f t="shared" ca="1" si="3"/>
        <v/>
      </c>
      <c r="N20" s="13" t="str">
        <f t="shared" si="4"/>
        <v/>
      </c>
      <c r="O20" s="12"/>
      <c r="P20" s="11" t="str">
        <f t="shared" ca="1" si="5"/>
        <v/>
      </c>
      <c r="Q20" s="11"/>
    </row>
    <row r="21" spans="1:17" s="6" customFormat="1" x14ac:dyDescent="0.25">
      <c r="A21" s="11">
        <v>17</v>
      </c>
      <c r="B21" s="11"/>
      <c r="C21" s="11"/>
      <c r="D21" s="11" t="str">
        <f t="shared" si="0"/>
        <v/>
      </c>
      <c r="E21" s="12"/>
      <c r="F21" s="12"/>
      <c r="G21" s="11" t="str">
        <f t="shared" ca="1" si="1"/>
        <v/>
      </c>
      <c r="H21" s="13" t="str">
        <f>IFERROR(INDEX('Cronograma Base 2026'!$D$2:$J$25,MATCH($D$2&amp;"|PDT 621 / PLAME",'Cronograma Base 2026'!$A$2:$A$25,0),MATCH($D21,'Cronograma Base 2026'!$D$1:$J$1,0)),"")</f>
        <v/>
      </c>
      <c r="I21" s="12"/>
      <c r="J21" s="11" t="str">
        <f t="shared" ca="1" si="2"/>
        <v/>
      </c>
      <c r="K21" s="13" t="str">
        <f>IFERROR(INDEX('Cronograma Base 2026'!$D$2:$J$25,MATCH($D$2&amp;"|SIRE (Compras/Ventas)",'Cronograma Base 2026'!$A$2:$A$25,0),MATCH($D21,'Cronograma Base 2026'!$D$1:$J$1,0)),"")</f>
        <v/>
      </c>
      <c r="L21" s="12"/>
      <c r="M21" s="11" t="str">
        <f t="shared" ca="1" si="3"/>
        <v/>
      </c>
      <c r="N21" s="13" t="str">
        <f t="shared" si="4"/>
        <v/>
      </c>
      <c r="O21" s="12"/>
      <c r="P21" s="11" t="str">
        <f t="shared" ca="1" si="5"/>
        <v/>
      </c>
      <c r="Q21" s="11"/>
    </row>
    <row r="22" spans="1:17" s="6" customFormat="1" x14ac:dyDescent="0.25">
      <c r="A22" s="11">
        <v>18</v>
      </c>
      <c r="B22" s="11"/>
      <c r="C22" s="11"/>
      <c r="D22" s="11" t="str">
        <f t="shared" si="0"/>
        <v/>
      </c>
      <c r="E22" s="12"/>
      <c r="F22" s="12"/>
      <c r="G22" s="11" t="str">
        <f t="shared" ca="1" si="1"/>
        <v/>
      </c>
      <c r="H22" s="13" t="str">
        <f>IFERROR(INDEX('Cronograma Base 2026'!$D$2:$J$25,MATCH($D$2&amp;"|PDT 621 / PLAME",'Cronograma Base 2026'!$A$2:$A$25,0),MATCH($D22,'Cronograma Base 2026'!$D$1:$J$1,0)),"")</f>
        <v/>
      </c>
      <c r="I22" s="12"/>
      <c r="J22" s="11" t="str">
        <f t="shared" ca="1" si="2"/>
        <v/>
      </c>
      <c r="K22" s="13" t="str">
        <f>IFERROR(INDEX('Cronograma Base 2026'!$D$2:$J$25,MATCH($D$2&amp;"|SIRE (Compras/Ventas)",'Cronograma Base 2026'!$A$2:$A$25,0),MATCH($D22,'Cronograma Base 2026'!$D$1:$J$1,0)),"")</f>
        <v/>
      </c>
      <c r="L22" s="12"/>
      <c r="M22" s="11" t="str">
        <f t="shared" ca="1" si="3"/>
        <v/>
      </c>
      <c r="N22" s="13" t="str">
        <f t="shared" si="4"/>
        <v/>
      </c>
      <c r="O22" s="12"/>
      <c r="P22" s="11" t="str">
        <f t="shared" ca="1" si="5"/>
        <v/>
      </c>
      <c r="Q22" s="11"/>
    </row>
    <row r="23" spans="1:17" s="6" customFormat="1" x14ac:dyDescent="0.25">
      <c r="A23" s="11">
        <v>19</v>
      </c>
      <c r="B23" s="11"/>
      <c r="C23" s="11"/>
      <c r="D23" s="11" t="str">
        <f t="shared" si="0"/>
        <v/>
      </c>
      <c r="E23" s="12"/>
      <c r="F23" s="12"/>
      <c r="G23" s="11" t="str">
        <f t="shared" ca="1" si="1"/>
        <v/>
      </c>
      <c r="H23" s="13" t="str">
        <f>IFERROR(INDEX('Cronograma Base 2026'!$D$2:$J$25,MATCH($D$2&amp;"|PDT 621 / PLAME",'Cronograma Base 2026'!$A$2:$A$25,0),MATCH($D23,'Cronograma Base 2026'!$D$1:$J$1,0)),"")</f>
        <v/>
      </c>
      <c r="I23" s="12"/>
      <c r="J23" s="11" t="str">
        <f t="shared" ca="1" si="2"/>
        <v/>
      </c>
      <c r="K23" s="13" t="str">
        <f>IFERROR(INDEX('Cronograma Base 2026'!$D$2:$J$25,MATCH($D$2&amp;"|SIRE (Compras/Ventas)",'Cronograma Base 2026'!$A$2:$A$25,0),MATCH($D23,'Cronograma Base 2026'!$D$1:$J$1,0)),"")</f>
        <v/>
      </c>
      <c r="L23" s="12"/>
      <c r="M23" s="11" t="str">
        <f t="shared" ca="1" si="3"/>
        <v/>
      </c>
      <c r="N23" s="13" t="str">
        <f t="shared" si="4"/>
        <v/>
      </c>
      <c r="O23" s="12"/>
      <c r="P23" s="11" t="str">
        <f t="shared" ca="1" si="5"/>
        <v/>
      </c>
      <c r="Q23" s="11"/>
    </row>
    <row r="24" spans="1:17" s="6" customFormat="1" x14ac:dyDescent="0.25">
      <c r="A24" s="11">
        <v>20</v>
      </c>
      <c r="B24" s="11"/>
      <c r="C24" s="11"/>
      <c r="D24" s="11" t="str">
        <f t="shared" si="0"/>
        <v/>
      </c>
      <c r="E24" s="12"/>
      <c r="F24" s="12"/>
      <c r="G24" s="11" t="str">
        <f t="shared" ca="1" si="1"/>
        <v/>
      </c>
      <c r="H24" s="13" t="str">
        <f>IFERROR(INDEX('Cronograma Base 2026'!$D$2:$J$25,MATCH($D$2&amp;"|PDT 621 / PLAME",'Cronograma Base 2026'!$A$2:$A$25,0),MATCH($D24,'Cronograma Base 2026'!$D$1:$J$1,0)),"")</f>
        <v/>
      </c>
      <c r="I24" s="12"/>
      <c r="J24" s="11" t="str">
        <f t="shared" ca="1" si="2"/>
        <v/>
      </c>
      <c r="K24" s="13" t="str">
        <f>IFERROR(INDEX('Cronograma Base 2026'!$D$2:$J$25,MATCH($D$2&amp;"|SIRE (Compras/Ventas)",'Cronograma Base 2026'!$A$2:$A$25,0),MATCH($D24,'Cronograma Base 2026'!$D$1:$J$1,0)),"")</f>
        <v/>
      </c>
      <c r="L24" s="12"/>
      <c r="M24" s="11" t="str">
        <f t="shared" ca="1" si="3"/>
        <v/>
      </c>
      <c r="N24" s="13" t="str">
        <f t="shared" si="4"/>
        <v/>
      </c>
      <c r="O24" s="12"/>
      <c r="P24" s="11" t="str">
        <f t="shared" ca="1" si="5"/>
        <v/>
      </c>
      <c r="Q24" s="11"/>
    </row>
    <row r="25" spans="1:17" s="6" customFormat="1" x14ac:dyDescent="0.25">
      <c r="A25" s="11">
        <v>21</v>
      </c>
      <c r="B25" s="11"/>
      <c r="C25" s="11"/>
      <c r="D25" s="11" t="str">
        <f t="shared" si="0"/>
        <v/>
      </c>
      <c r="E25" s="12"/>
      <c r="F25" s="12"/>
      <c r="G25" s="11" t="str">
        <f t="shared" ca="1" si="1"/>
        <v/>
      </c>
      <c r="H25" s="13" t="str">
        <f>IFERROR(INDEX('Cronograma Base 2026'!$D$2:$J$25,MATCH($D$2&amp;"|PDT 621 / PLAME",'Cronograma Base 2026'!$A$2:$A$25,0),MATCH($D25,'Cronograma Base 2026'!$D$1:$J$1,0)),"")</f>
        <v/>
      </c>
      <c r="I25" s="12"/>
      <c r="J25" s="11" t="str">
        <f t="shared" ca="1" si="2"/>
        <v/>
      </c>
      <c r="K25" s="13" t="str">
        <f>IFERROR(INDEX('Cronograma Base 2026'!$D$2:$J$25,MATCH($D$2&amp;"|SIRE (Compras/Ventas)",'Cronograma Base 2026'!$A$2:$A$25,0),MATCH($D25,'Cronograma Base 2026'!$D$1:$J$1,0)),"")</f>
        <v/>
      </c>
      <c r="L25" s="12"/>
      <c r="M25" s="11" t="str">
        <f t="shared" ca="1" si="3"/>
        <v/>
      </c>
      <c r="N25" s="13" t="str">
        <f t="shared" si="4"/>
        <v/>
      </c>
      <c r="O25" s="12"/>
      <c r="P25" s="11" t="str">
        <f t="shared" ca="1" si="5"/>
        <v/>
      </c>
      <c r="Q25" s="11"/>
    </row>
    <row r="26" spans="1:17" s="6" customFormat="1" x14ac:dyDescent="0.25">
      <c r="A26" s="11">
        <v>22</v>
      </c>
      <c r="B26" s="11"/>
      <c r="C26" s="11"/>
      <c r="D26" s="11" t="str">
        <f t="shared" si="0"/>
        <v/>
      </c>
      <c r="E26" s="12"/>
      <c r="F26" s="12"/>
      <c r="G26" s="11" t="str">
        <f t="shared" ca="1" si="1"/>
        <v/>
      </c>
      <c r="H26" s="13" t="str">
        <f>IFERROR(INDEX('Cronograma Base 2026'!$D$2:$J$25,MATCH($D$2&amp;"|PDT 621 / PLAME",'Cronograma Base 2026'!$A$2:$A$25,0),MATCH($D26,'Cronograma Base 2026'!$D$1:$J$1,0)),"")</f>
        <v/>
      </c>
      <c r="I26" s="12"/>
      <c r="J26" s="11" t="str">
        <f t="shared" ca="1" si="2"/>
        <v/>
      </c>
      <c r="K26" s="13" t="str">
        <f>IFERROR(INDEX('Cronograma Base 2026'!$D$2:$J$25,MATCH($D$2&amp;"|SIRE (Compras/Ventas)",'Cronograma Base 2026'!$A$2:$A$25,0),MATCH($D26,'Cronograma Base 2026'!$D$1:$J$1,0)),"")</f>
        <v/>
      </c>
      <c r="L26" s="12"/>
      <c r="M26" s="11" t="str">
        <f t="shared" ca="1" si="3"/>
        <v/>
      </c>
      <c r="N26" s="13" t="str">
        <f t="shared" si="4"/>
        <v/>
      </c>
      <c r="O26" s="12"/>
      <c r="P26" s="11" t="str">
        <f t="shared" ca="1" si="5"/>
        <v/>
      </c>
      <c r="Q26" s="11"/>
    </row>
    <row r="27" spans="1:17" s="6" customFormat="1" x14ac:dyDescent="0.25">
      <c r="A27" s="11">
        <v>23</v>
      </c>
      <c r="B27" s="11"/>
      <c r="C27" s="11"/>
      <c r="D27" s="11" t="str">
        <f t="shared" si="0"/>
        <v/>
      </c>
      <c r="E27" s="12"/>
      <c r="F27" s="12"/>
      <c r="G27" s="11" t="str">
        <f t="shared" ca="1" si="1"/>
        <v/>
      </c>
      <c r="H27" s="13" t="str">
        <f>IFERROR(INDEX('Cronograma Base 2026'!$D$2:$J$25,MATCH($D$2&amp;"|PDT 621 / PLAME",'Cronograma Base 2026'!$A$2:$A$25,0),MATCH($D27,'Cronograma Base 2026'!$D$1:$J$1,0)),"")</f>
        <v/>
      </c>
      <c r="I27" s="12"/>
      <c r="J27" s="11" t="str">
        <f t="shared" ca="1" si="2"/>
        <v/>
      </c>
      <c r="K27" s="13" t="str">
        <f>IFERROR(INDEX('Cronograma Base 2026'!$D$2:$J$25,MATCH($D$2&amp;"|SIRE (Compras/Ventas)",'Cronograma Base 2026'!$A$2:$A$25,0),MATCH($D27,'Cronograma Base 2026'!$D$1:$J$1,0)),"")</f>
        <v/>
      </c>
      <c r="L27" s="12"/>
      <c r="M27" s="11" t="str">
        <f t="shared" ca="1" si="3"/>
        <v/>
      </c>
      <c r="N27" s="13" t="str">
        <f t="shared" si="4"/>
        <v/>
      </c>
      <c r="O27" s="12"/>
      <c r="P27" s="11" t="str">
        <f t="shared" ca="1" si="5"/>
        <v/>
      </c>
      <c r="Q27" s="11"/>
    </row>
    <row r="28" spans="1:17" s="6" customFormat="1" x14ac:dyDescent="0.25">
      <c r="A28" s="11">
        <v>24</v>
      </c>
      <c r="B28" s="11"/>
      <c r="C28" s="11"/>
      <c r="D28" s="11" t="str">
        <f t="shared" ref="D28:D87" si="6">IFERROR(IF(VALUE(RIGHT(C28,1))=0,"0",IF(VALUE(RIGHT(C28,1))=1,"1",IF(OR(VALUE(RIGHT(C28,1))=2,VALUE(RIGHT(C28,1))=3),"2 y 3",IF(OR(VALUE(RIGHT(C28,1))=4,VALUE(RIGHT(C28,1))=5),"4 y 5",IF(OR(VALUE(RIGHT(C28,1))=6,VALUE(RIGHT(C28,1))=7),"6 y 7","8 y 9"))))),"")</f>
        <v/>
      </c>
      <c r="E28" s="12"/>
      <c r="F28" s="12"/>
      <c r="G28" s="11" t="str">
        <f t="shared" ref="G28:G87" ca="1" si="7">IF(E28="","",IF(F28="",IF(TODAY()&gt;E28,"ATRASADO","PENDIENTE"),IF(F28&lt;=E28,"A TIEMPO","ATRASADO")))</f>
        <v/>
      </c>
      <c r="H28" s="13" t="str">
        <f>IFERROR(INDEX('Cronograma Base 2026'!$D$2:$J$25,MATCH($D$2&amp;"|PDT 621 / PLAME",'Cronograma Base 2026'!$A$2:$A$25,0),MATCH($D28,'Cronograma Base 2026'!$D$1:$J$1,0)),"")</f>
        <v/>
      </c>
      <c r="I28" s="12"/>
      <c r="J28" s="11" t="str">
        <f t="shared" ref="J28:J87" ca="1" si="8">IF(H28="","",IF(I28="",IF(TODAY()&gt;H28,"ATRASADO","PENDIENTE"),IF(I28&lt;=H28,"A TIEMPO","ATRASADO")))</f>
        <v/>
      </c>
      <c r="K28" s="13" t="str">
        <f>IFERROR(INDEX('Cronograma Base 2026'!$D$2:$J$25,MATCH($D$2&amp;"|SIRE (Compras/Ventas)",'Cronograma Base 2026'!$A$2:$A$25,0),MATCH($D28,'Cronograma Base 2026'!$D$1:$J$1,0)),"")</f>
        <v/>
      </c>
      <c r="L28" s="12"/>
      <c r="M28" s="11" t="str">
        <f t="shared" ref="M28:M87" ca="1" si="9">IF(K28="","",IF(L28="",IF(TODAY()&gt;K28,"ATRASADO","PENDIENTE"),IF(L28&lt;=K28,"A TIEMPO","ATRASADO")))</f>
        <v/>
      </c>
      <c r="N28" s="13" t="str">
        <f t="shared" ref="N28:N87" si="10">H28</f>
        <v/>
      </c>
      <c r="O28" s="12"/>
      <c r="P28" s="11" t="str">
        <f t="shared" ref="P28:P87" ca="1" si="11">IF(N28="","",IF(O28="",IF(TODAY()&gt;N28,"ATRASADO","PENDIENTE"),IF(O28&lt;=N28,"A TIEMPO","ATRASADO")))</f>
        <v/>
      </c>
      <c r="Q28" s="11"/>
    </row>
    <row r="29" spans="1:17" s="6" customFormat="1" x14ac:dyDescent="0.25">
      <c r="A29" s="11">
        <v>25</v>
      </c>
      <c r="B29" s="11"/>
      <c r="C29" s="11"/>
      <c r="D29" s="11" t="str">
        <f t="shared" si="6"/>
        <v/>
      </c>
      <c r="E29" s="12"/>
      <c r="F29" s="12"/>
      <c r="G29" s="11" t="str">
        <f t="shared" ca="1" si="7"/>
        <v/>
      </c>
      <c r="H29" s="13" t="str">
        <f>IFERROR(INDEX('Cronograma Base 2026'!$D$2:$J$25,MATCH($D$2&amp;"|PDT 621 / PLAME",'Cronograma Base 2026'!$A$2:$A$25,0),MATCH($D29,'Cronograma Base 2026'!$D$1:$J$1,0)),"")</f>
        <v/>
      </c>
      <c r="I29" s="12"/>
      <c r="J29" s="11" t="str">
        <f t="shared" ca="1" si="8"/>
        <v/>
      </c>
      <c r="K29" s="13" t="str">
        <f>IFERROR(INDEX('Cronograma Base 2026'!$D$2:$J$25,MATCH($D$2&amp;"|SIRE (Compras/Ventas)",'Cronograma Base 2026'!$A$2:$A$25,0),MATCH($D29,'Cronograma Base 2026'!$D$1:$J$1,0)),"")</f>
        <v/>
      </c>
      <c r="L29" s="12"/>
      <c r="M29" s="11" t="str">
        <f t="shared" ca="1" si="9"/>
        <v/>
      </c>
      <c r="N29" s="13" t="str">
        <f t="shared" si="10"/>
        <v/>
      </c>
      <c r="O29" s="12"/>
      <c r="P29" s="11" t="str">
        <f t="shared" ca="1" si="11"/>
        <v/>
      </c>
      <c r="Q29" s="11"/>
    </row>
    <row r="30" spans="1:17" s="6" customFormat="1" x14ac:dyDescent="0.25">
      <c r="A30" s="11">
        <v>26</v>
      </c>
      <c r="B30" s="11"/>
      <c r="C30" s="11"/>
      <c r="D30" s="11" t="str">
        <f t="shared" si="6"/>
        <v/>
      </c>
      <c r="E30" s="12"/>
      <c r="F30" s="12"/>
      <c r="G30" s="11" t="str">
        <f t="shared" ca="1" si="7"/>
        <v/>
      </c>
      <c r="H30" s="13" t="str">
        <f>IFERROR(INDEX('Cronograma Base 2026'!$D$2:$J$25,MATCH($D$2&amp;"|PDT 621 / PLAME",'Cronograma Base 2026'!$A$2:$A$25,0),MATCH($D30,'Cronograma Base 2026'!$D$1:$J$1,0)),"")</f>
        <v/>
      </c>
      <c r="I30" s="12"/>
      <c r="J30" s="11" t="str">
        <f t="shared" ca="1" si="8"/>
        <v/>
      </c>
      <c r="K30" s="13" t="str">
        <f>IFERROR(INDEX('Cronograma Base 2026'!$D$2:$J$25,MATCH($D$2&amp;"|SIRE (Compras/Ventas)",'Cronograma Base 2026'!$A$2:$A$25,0),MATCH($D30,'Cronograma Base 2026'!$D$1:$J$1,0)),"")</f>
        <v/>
      </c>
      <c r="L30" s="12"/>
      <c r="M30" s="11" t="str">
        <f t="shared" ca="1" si="9"/>
        <v/>
      </c>
      <c r="N30" s="13" t="str">
        <f t="shared" si="10"/>
        <v/>
      </c>
      <c r="O30" s="12"/>
      <c r="P30" s="11" t="str">
        <f t="shared" ca="1" si="11"/>
        <v/>
      </c>
      <c r="Q30" s="11"/>
    </row>
    <row r="31" spans="1:17" s="6" customFormat="1" x14ac:dyDescent="0.25">
      <c r="A31" s="11">
        <v>27</v>
      </c>
      <c r="B31" s="11"/>
      <c r="C31" s="11"/>
      <c r="D31" s="11" t="str">
        <f t="shared" si="6"/>
        <v/>
      </c>
      <c r="E31" s="12"/>
      <c r="F31" s="12"/>
      <c r="G31" s="11" t="str">
        <f t="shared" ca="1" si="7"/>
        <v/>
      </c>
      <c r="H31" s="13" t="str">
        <f>IFERROR(INDEX('Cronograma Base 2026'!$D$2:$J$25,MATCH($D$2&amp;"|PDT 621 / PLAME",'Cronograma Base 2026'!$A$2:$A$25,0),MATCH($D31,'Cronograma Base 2026'!$D$1:$J$1,0)),"")</f>
        <v/>
      </c>
      <c r="I31" s="12"/>
      <c r="J31" s="11" t="str">
        <f t="shared" ca="1" si="8"/>
        <v/>
      </c>
      <c r="K31" s="13" t="str">
        <f>IFERROR(INDEX('Cronograma Base 2026'!$D$2:$J$25,MATCH($D$2&amp;"|SIRE (Compras/Ventas)",'Cronograma Base 2026'!$A$2:$A$25,0),MATCH($D31,'Cronograma Base 2026'!$D$1:$J$1,0)),"")</f>
        <v/>
      </c>
      <c r="L31" s="12"/>
      <c r="M31" s="11" t="str">
        <f t="shared" ca="1" si="9"/>
        <v/>
      </c>
      <c r="N31" s="13" t="str">
        <f t="shared" si="10"/>
        <v/>
      </c>
      <c r="O31" s="12"/>
      <c r="P31" s="11" t="str">
        <f t="shared" ca="1" si="11"/>
        <v/>
      </c>
      <c r="Q31" s="11"/>
    </row>
    <row r="32" spans="1:17" s="6" customFormat="1" x14ac:dyDescent="0.25">
      <c r="A32" s="11">
        <v>28</v>
      </c>
      <c r="B32" s="11"/>
      <c r="C32" s="11"/>
      <c r="D32" s="11" t="str">
        <f t="shared" si="6"/>
        <v/>
      </c>
      <c r="E32" s="12"/>
      <c r="F32" s="12"/>
      <c r="G32" s="11" t="str">
        <f t="shared" ca="1" si="7"/>
        <v/>
      </c>
      <c r="H32" s="13" t="str">
        <f>IFERROR(INDEX('Cronograma Base 2026'!$D$2:$J$25,MATCH($D$2&amp;"|PDT 621 / PLAME",'Cronograma Base 2026'!$A$2:$A$25,0),MATCH($D32,'Cronograma Base 2026'!$D$1:$J$1,0)),"")</f>
        <v/>
      </c>
      <c r="I32" s="12"/>
      <c r="J32" s="11" t="str">
        <f t="shared" ca="1" si="8"/>
        <v/>
      </c>
      <c r="K32" s="13" t="str">
        <f>IFERROR(INDEX('Cronograma Base 2026'!$D$2:$J$25,MATCH($D$2&amp;"|SIRE (Compras/Ventas)",'Cronograma Base 2026'!$A$2:$A$25,0),MATCH($D32,'Cronograma Base 2026'!$D$1:$J$1,0)),"")</f>
        <v/>
      </c>
      <c r="L32" s="12"/>
      <c r="M32" s="11" t="str">
        <f t="shared" ca="1" si="9"/>
        <v/>
      </c>
      <c r="N32" s="13" t="str">
        <f t="shared" si="10"/>
        <v/>
      </c>
      <c r="O32" s="12"/>
      <c r="P32" s="11" t="str">
        <f t="shared" ca="1" si="11"/>
        <v/>
      </c>
      <c r="Q32" s="11"/>
    </row>
    <row r="33" spans="1:17" s="6" customFormat="1" x14ac:dyDescent="0.25">
      <c r="A33" s="11">
        <v>29</v>
      </c>
      <c r="B33" s="11"/>
      <c r="C33" s="11"/>
      <c r="D33" s="11" t="str">
        <f t="shared" si="6"/>
        <v/>
      </c>
      <c r="E33" s="12"/>
      <c r="F33" s="12"/>
      <c r="G33" s="11" t="str">
        <f t="shared" ca="1" si="7"/>
        <v/>
      </c>
      <c r="H33" s="13" t="str">
        <f>IFERROR(INDEX('Cronograma Base 2026'!$D$2:$J$25,MATCH($D$2&amp;"|PDT 621 / PLAME",'Cronograma Base 2026'!$A$2:$A$25,0),MATCH($D33,'Cronograma Base 2026'!$D$1:$J$1,0)),"")</f>
        <v/>
      </c>
      <c r="I33" s="12"/>
      <c r="J33" s="11" t="str">
        <f t="shared" ca="1" si="8"/>
        <v/>
      </c>
      <c r="K33" s="13" t="str">
        <f>IFERROR(INDEX('Cronograma Base 2026'!$D$2:$J$25,MATCH($D$2&amp;"|SIRE (Compras/Ventas)",'Cronograma Base 2026'!$A$2:$A$25,0),MATCH($D33,'Cronograma Base 2026'!$D$1:$J$1,0)),"")</f>
        <v/>
      </c>
      <c r="L33" s="12"/>
      <c r="M33" s="11" t="str">
        <f t="shared" ca="1" si="9"/>
        <v/>
      </c>
      <c r="N33" s="13" t="str">
        <f t="shared" si="10"/>
        <v/>
      </c>
      <c r="O33" s="12"/>
      <c r="P33" s="11" t="str">
        <f t="shared" ca="1" si="11"/>
        <v/>
      </c>
      <c r="Q33" s="11"/>
    </row>
    <row r="34" spans="1:17" s="6" customFormat="1" x14ac:dyDescent="0.25">
      <c r="A34" s="11">
        <v>30</v>
      </c>
      <c r="B34" s="11"/>
      <c r="C34" s="11"/>
      <c r="D34" s="11" t="str">
        <f t="shared" si="6"/>
        <v/>
      </c>
      <c r="E34" s="12"/>
      <c r="F34" s="12"/>
      <c r="G34" s="11" t="str">
        <f t="shared" ca="1" si="7"/>
        <v/>
      </c>
      <c r="H34" s="13" t="str">
        <f>IFERROR(INDEX('Cronograma Base 2026'!$D$2:$J$25,MATCH($D$2&amp;"|PDT 621 / PLAME",'Cronograma Base 2026'!$A$2:$A$25,0),MATCH($D34,'Cronograma Base 2026'!$D$1:$J$1,0)),"")</f>
        <v/>
      </c>
      <c r="I34" s="12"/>
      <c r="J34" s="11" t="str">
        <f t="shared" ca="1" si="8"/>
        <v/>
      </c>
      <c r="K34" s="13" t="str">
        <f>IFERROR(INDEX('Cronograma Base 2026'!$D$2:$J$25,MATCH($D$2&amp;"|SIRE (Compras/Ventas)",'Cronograma Base 2026'!$A$2:$A$25,0),MATCH($D34,'Cronograma Base 2026'!$D$1:$J$1,0)),"")</f>
        <v/>
      </c>
      <c r="L34" s="12"/>
      <c r="M34" s="11" t="str">
        <f t="shared" ca="1" si="9"/>
        <v/>
      </c>
      <c r="N34" s="13" t="str">
        <f t="shared" si="10"/>
        <v/>
      </c>
      <c r="O34" s="12"/>
      <c r="P34" s="11" t="str">
        <f t="shared" ca="1" si="11"/>
        <v/>
      </c>
      <c r="Q34" s="11"/>
    </row>
    <row r="35" spans="1:17" s="6" customFormat="1" x14ac:dyDescent="0.25">
      <c r="A35" s="11">
        <v>31</v>
      </c>
      <c r="B35" s="11"/>
      <c r="C35" s="11"/>
      <c r="D35" s="11" t="str">
        <f t="shared" si="6"/>
        <v/>
      </c>
      <c r="E35" s="12"/>
      <c r="F35" s="12"/>
      <c r="G35" s="11" t="str">
        <f t="shared" ca="1" si="7"/>
        <v/>
      </c>
      <c r="H35" s="13" t="str">
        <f>IFERROR(INDEX('Cronograma Base 2026'!$D$2:$J$25,MATCH($D$2&amp;"|PDT 621 / PLAME",'Cronograma Base 2026'!$A$2:$A$25,0),MATCH($D35,'Cronograma Base 2026'!$D$1:$J$1,0)),"")</f>
        <v/>
      </c>
      <c r="I35" s="12"/>
      <c r="J35" s="11" t="str">
        <f t="shared" ca="1" si="8"/>
        <v/>
      </c>
      <c r="K35" s="13" t="str">
        <f>IFERROR(INDEX('Cronograma Base 2026'!$D$2:$J$25,MATCH($D$2&amp;"|SIRE (Compras/Ventas)",'Cronograma Base 2026'!$A$2:$A$25,0),MATCH($D35,'Cronograma Base 2026'!$D$1:$J$1,0)),"")</f>
        <v/>
      </c>
      <c r="L35" s="12"/>
      <c r="M35" s="11" t="str">
        <f t="shared" ca="1" si="9"/>
        <v/>
      </c>
      <c r="N35" s="13" t="str">
        <f t="shared" si="10"/>
        <v/>
      </c>
      <c r="O35" s="12"/>
      <c r="P35" s="11" t="str">
        <f t="shared" ca="1" si="11"/>
        <v/>
      </c>
      <c r="Q35" s="11"/>
    </row>
    <row r="36" spans="1:17" s="6" customFormat="1" x14ac:dyDescent="0.25">
      <c r="A36" s="11">
        <v>32</v>
      </c>
      <c r="B36" s="11"/>
      <c r="C36" s="11"/>
      <c r="D36" s="11" t="str">
        <f t="shared" si="6"/>
        <v/>
      </c>
      <c r="E36" s="12"/>
      <c r="F36" s="12"/>
      <c r="G36" s="11" t="str">
        <f t="shared" ca="1" si="7"/>
        <v/>
      </c>
      <c r="H36" s="13" t="str">
        <f>IFERROR(INDEX('Cronograma Base 2026'!$D$2:$J$25,MATCH($D$2&amp;"|PDT 621 / PLAME",'Cronograma Base 2026'!$A$2:$A$25,0),MATCH($D36,'Cronograma Base 2026'!$D$1:$J$1,0)),"")</f>
        <v/>
      </c>
      <c r="I36" s="12"/>
      <c r="J36" s="11" t="str">
        <f t="shared" ca="1" si="8"/>
        <v/>
      </c>
      <c r="K36" s="13" t="str">
        <f>IFERROR(INDEX('Cronograma Base 2026'!$D$2:$J$25,MATCH($D$2&amp;"|SIRE (Compras/Ventas)",'Cronograma Base 2026'!$A$2:$A$25,0),MATCH($D36,'Cronograma Base 2026'!$D$1:$J$1,0)),"")</f>
        <v/>
      </c>
      <c r="L36" s="12"/>
      <c r="M36" s="11" t="str">
        <f t="shared" ca="1" si="9"/>
        <v/>
      </c>
      <c r="N36" s="13" t="str">
        <f t="shared" si="10"/>
        <v/>
      </c>
      <c r="O36" s="12"/>
      <c r="P36" s="11" t="str">
        <f t="shared" ca="1" si="11"/>
        <v/>
      </c>
      <c r="Q36" s="11"/>
    </row>
    <row r="37" spans="1:17" s="6" customFormat="1" x14ac:dyDescent="0.25">
      <c r="A37" s="11">
        <v>33</v>
      </c>
      <c r="B37" s="11"/>
      <c r="C37" s="11"/>
      <c r="D37" s="11" t="str">
        <f t="shared" si="6"/>
        <v/>
      </c>
      <c r="E37" s="12"/>
      <c r="F37" s="12"/>
      <c r="G37" s="11" t="str">
        <f t="shared" ca="1" si="7"/>
        <v/>
      </c>
      <c r="H37" s="13" t="str">
        <f>IFERROR(INDEX('Cronograma Base 2026'!$D$2:$J$25,MATCH($D$2&amp;"|PDT 621 / PLAME",'Cronograma Base 2026'!$A$2:$A$25,0),MATCH($D37,'Cronograma Base 2026'!$D$1:$J$1,0)),"")</f>
        <v/>
      </c>
      <c r="I37" s="12"/>
      <c r="J37" s="11" t="str">
        <f t="shared" ca="1" si="8"/>
        <v/>
      </c>
      <c r="K37" s="13" t="str">
        <f>IFERROR(INDEX('Cronograma Base 2026'!$D$2:$J$25,MATCH($D$2&amp;"|SIRE (Compras/Ventas)",'Cronograma Base 2026'!$A$2:$A$25,0),MATCH($D37,'Cronograma Base 2026'!$D$1:$J$1,0)),"")</f>
        <v/>
      </c>
      <c r="L37" s="12"/>
      <c r="M37" s="11" t="str">
        <f t="shared" ca="1" si="9"/>
        <v/>
      </c>
      <c r="N37" s="13" t="str">
        <f t="shared" si="10"/>
        <v/>
      </c>
      <c r="O37" s="12"/>
      <c r="P37" s="11" t="str">
        <f t="shared" ca="1" si="11"/>
        <v/>
      </c>
      <c r="Q37" s="11"/>
    </row>
    <row r="38" spans="1:17" s="6" customFormat="1" x14ac:dyDescent="0.25">
      <c r="A38" s="11">
        <v>34</v>
      </c>
      <c r="B38" s="11"/>
      <c r="C38" s="11"/>
      <c r="D38" s="11" t="str">
        <f t="shared" si="6"/>
        <v/>
      </c>
      <c r="E38" s="12"/>
      <c r="F38" s="12"/>
      <c r="G38" s="11" t="str">
        <f t="shared" ca="1" si="7"/>
        <v/>
      </c>
      <c r="H38" s="13" t="str">
        <f>IFERROR(INDEX('Cronograma Base 2026'!$D$2:$J$25,MATCH($D$2&amp;"|PDT 621 / PLAME",'Cronograma Base 2026'!$A$2:$A$25,0),MATCH($D38,'Cronograma Base 2026'!$D$1:$J$1,0)),"")</f>
        <v/>
      </c>
      <c r="I38" s="12"/>
      <c r="J38" s="11" t="str">
        <f t="shared" ca="1" si="8"/>
        <v/>
      </c>
      <c r="K38" s="13" t="str">
        <f>IFERROR(INDEX('Cronograma Base 2026'!$D$2:$J$25,MATCH($D$2&amp;"|SIRE (Compras/Ventas)",'Cronograma Base 2026'!$A$2:$A$25,0),MATCH($D38,'Cronograma Base 2026'!$D$1:$J$1,0)),"")</f>
        <v/>
      </c>
      <c r="L38" s="12"/>
      <c r="M38" s="11" t="str">
        <f t="shared" ca="1" si="9"/>
        <v/>
      </c>
      <c r="N38" s="13" t="str">
        <f t="shared" si="10"/>
        <v/>
      </c>
      <c r="O38" s="12"/>
      <c r="P38" s="11" t="str">
        <f t="shared" ca="1" si="11"/>
        <v/>
      </c>
      <c r="Q38" s="11"/>
    </row>
    <row r="39" spans="1:17" s="6" customFormat="1" x14ac:dyDescent="0.25">
      <c r="A39" s="11">
        <v>35</v>
      </c>
      <c r="B39" s="11"/>
      <c r="C39" s="11"/>
      <c r="D39" s="11" t="str">
        <f t="shared" si="6"/>
        <v/>
      </c>
      <c r="E39" s="12"/>
      <c r="F39" s="12"/>
      <c r="G39" s="11" t="str">
        <f t="shared" ca="1" si="7"/>
        <v/>
      </c>
      <c r="H39" s="13" t="str">
        <f>IFERROR(INDEX('Cronograma Base 2026'!$D$2:$J$25,MATCH($D$2&amp;"|PDT 621 / PLAME",'Cronograma Base 2026'!$A$2:$A$25,0),MATCH($D39,'Cronograma Base 2026'!$D$1:$J$1,0)),"")</f>
        <v/>
      </c>
      <c r="I39" s="12"/>
      <c r="J39" s="11" t="str">
        <f t="shared" ca="1" si="8"/>
        <v/>
      </c>
      <c r="K39" s="13" t="str">
        <f>IFERROR(INDEX('Cronograma Base 2026'!$D$2:$J$25,MATCH($D$2&amp;"|SIRE (Compras/Ventas)",'Cronograma Base 2026'!$A$2:$A$25,0),MATCH($D39,'Cronograma Base 2026'!$D$1:$J$1,0)),"")</f>
        <v/>
      </c>
      <c r="L39" s="12"/>
      <c r="M39" s="11" t="str">
        <f t="shared" ca="1" si="9"/>
        <v/>
      </c>
      <c r="N39" s="13" t="str">
        <f t="shared" si="10"/>
        <v/>
      </c>
      <c r="O39" s="12"/>
      <c r="P39" s="11" t="str">
        <f t="shared" ca="1" si="11"/>
        <v/>
      </c>
      <c r="Q39" s="11"/>
    </row>
    <row r="40" spans="1:17" s="6" customFormat="1" x14ac:dyDescent="0.25">
      <c r="A40" s="11">
        <v>36</v>
      </c>
      <c r="B40" s="11"/>
      <c r="C40" s="11"/>
      <c r="D40" s="11" t="str">
        <f t="shared" si="6"/>
        <v/>
      </c>
      <c r="E40" s="12"/>
      <c r="F40" s="12"/>
      <c r="G40" s="11" t="str">
        <f t="shared" ca="1" si="7"/>
        <v/>
      </c>
      <c r="H40" s="13" t="str">
        <f>IFERROR(INDEX('Cronograma Base 2026'!$D$2:$J$25,MATCH($D$2&amp;"|PDT 621 / PLAME",'Cronograma Base 2026'!$A$2:$A$25,0),MATCH($D40,'Cronograma Base 2026'!$D$1:$J$1,0)),"")</f>
        <v/>
      </c>
      <c r="I40" s="12"/>
      <c r="J40" s="11" t="str">
        <f t="shared" ca="1" si="8"/>
        <v/>
      </c>
      <c r="K40" s="13" t="str">
        <f>IFERROR(INDEX('Cronograma Base 2026'!$D$2:$J$25,MATCH($D$2&amp;"|SIRE (Compras/Ventas)",'Cronograma Base 2026'!$A$2:$A$25,0),MATCH($D40,'Cronograma Base 2026'!$D$1:$J$1,0)),"")</f>
        <v/>
      </c>
      <c r="L40" s="12"/>
      <c r="M40" s="11" t="str">
        <f t="shared" ca="1" si="9"/>
        <v/>
      </c>
      <c r="N40" s="13" t="str">
        <f t="shared" si="10"/>
        <v/>
      </c>
      <c r="O40" s="12"/>
      <c r="P40" s="11" t="str">
        <f t="shared" ca="1" si="11"/>
        <v/>
      </c>
      <c r="Q40" s="11"/>
    </row>
    <row r="41" spans="1:17" s="6" customFormat="1" x14ac:dyDescent="0.25">
      <c r="A41" s="11">
        <v>37</v>
      </c>
      <c r="B41" s="11"/>
      <c r="C41" s="11"/>
      <c r="D41" s="11" t="str">
        <f t="shared" si="6"/>
        <v/>
      </c>
      <c r="E41" s="12"/>
      <c r="F41" s="12"/>
      <c r="G41" s="11" t="str">
        <f t="shared" ca="1" si="7"/>
        <v/>
      </c>
      <c r="H41" s="13" t="str">
        <f>IFERROR(INDEX('Cronograma Base 2026'!$D$2:$J$25,MATCH($D$2&amp;"|PDT 621 / PLAME",'Cronograma Base 2026'!$A$2:$A$25,0),MATCH($D41,'Cronograma Base 2026'!$D$1:$J$1,0)),"")</f>
        <v/>
      </c>
      <c r="I41" s="12"/>
      <c r="J41" s="11" t="str">
        <f t="shared" ca="1" si="8"/>
        <v/>
      </c>
      <c r="K41" s="13" t="str">
        <f>IFERROR(INDEX('Cronograma Base 2026'!$D$2:$J$25,MATCH($D$2&amp;"|SIRE (Compras/Ventas)",'Cronograma Base 2026'!$A$2:$A$25,0),MATCH($D41,'Cronograma Base 2026'!$D$1:$J$1,0)),"")</f>
        <v/>
      </c>
      <c r="L41" s="12"/>
      <c r="M41" s="11" t="str">
        <f t="shared" ca="1" si="9"/>
        <v/>
      </c>
      <c r="N41" s="13" t="str">
        <f t="shared" si="10"/>
        <v/>
      </c>
      <c r="O41" s="12"/>
      <c r="P41" s="11" t="str">
        <f t="shared" ca="1" si="11"/>
        <v/>
      </c>
      <c r="Q41" s="11"/>
    </row>
    <row r="42" spans="1:17" s="6" customFormat="1" x14ac:dyDescent="0.25">
      <c r="A42" s="11">
        <v>38</v>
      </c>
      <c r="B42" s="11"/>
      <c r="C42" s="11"/>
      <c r="D42" s="11" t="str">
        <f t="shared" si="6"/>
        <v/>
      </c>
      <c r="E42" s="12"/>
      <c r="F42" s="12"/>
      <c r="G42" s="11" t="str">
        <f t="shared" ca="1" si="7"/>
        <v/>
      </c>
      <c r="H42" s="13" t="str">
        <f>IFERROR(INDEX('Cronograma Base 2026'!$D$2:$J$25,MATCH($D$2&amp;"|PDT 621 / PLAME",'Cronograma Base 2026'!$A$2:$A$25,0),MATCH($D42,'Cronograma Base 2026'!$D$1:$J$1,0)),"")</f>
        <v/>
      </c>
      <c r="I42" s="12"/>
      <c r="J42" s="11" t="str">
        <f t="shared" ca="1" si="8"/>
        <v/>
      </c>
      <c r="K42" s="13" t="str">
        <f>IFERROR(INDEX('Cronograma Base 2026'!$D$2:$J$25,MATCH($D$2&amp;"|SIRE (Compras/Ventas)",'Cronograma Base 2026'!$A$2:$A$25,0),MATCH($D42,'Cronograma Base 2026'!$D$1:$J$1,0)),"")</f>
        <v/>
      </c>
      <c r="L42" s="12"/>
      <c r="M42" s="11" t="str">
        <f t="shared" ca="1" si="9"/>
        <v/>
      </c>
      <c r="N42" s="13" t="str">
        <f t="shared" si="10"/>
        <v/>
      </c>
      <c r="O42" s="12"/>
      <c r="P42" s="11" t="str">
        <f t="shared" ca="1" si="11"/>
        <v/>
      </c>
      <c r="Q42" s="11"/>
    </row>
    <row r="43" spans="1:17" s="6" customFormat="1" x14ac:dyDescent="0.25">
      <c r="A43" s="11">
        <v>39</v>
      </c>
      <c r="B43" s="11"/>
      <c r="C43" s="11"/>
      <c r="D43" s="11" t="str">
        <f t="shared" si="6"/>
        <v/>
      </c>
      <c r="E43" s="12"/>
      <c r="F43" s="12"/>
      <c r="G43" s="11" t="str">
        <f t="shared" ca="1" si="7"/>
        <v/>
      </c>
      <c r="H43" s="13" t="str">
        <f>IFERROR(INDEX('Cronograma Base 2026'!$D$2:$J$25,MATCH($D$2&amp;"|PDT 621 / PLAME",'Cronograma Base 2026'!$A$2:$A$25,0),MATCH($D43,'Cronograma Base 2026'!$D$1:$J$1,0)),"")</f>
        <v/>
      </c>
      <c r="I43" s="12"/>
      <c r="J43" s="11" t="str">
        <f t="shared" ca="1" si="8"/>
        <v/>
      </c>
      <c r="K43" s="13" t="str">
        <f>IFERROR(INDEX('Cronograma Base 2026'!$D$2:$J$25,MATCH($D$2&amp;"|SIRE (Compras/Ventas)",'Cronograma Base 2026'!$A$2:$A$25,0),MATCH($D43,'Cronograma Base 2026'!$D$1:$J$1,0)),"")</f>
        <v/>
      </c>
      <c r="L43" s="12"/>
      <c r="M43" s="11" t="str">
        <f t="shared" ca="1" si="9"/>
        <v/>
      </c>
      <c r="N43" s="13" t="str">
        <f t="shared" si="10"/>
        <v/>
      </c>
      <c r="O43" s="12"/>
      <c r="P43" s="11" t="str">
        <f t="shared" ca="1" si="11"/>
        <v/>
      </c>
      <c r="Q43" s="11"/>
    </row>
    <row r="44" spans="1:17" s="6" customFormat="1" x14ac:dyDescent="0.25">
      <c r="A44" s="11">
        <v>40</v>
      </c>
      <c r="B44" s="11"/>
      <c r="C44" s="11"/>
      <c r="D44" s="11" t="str">
        <f t="shared" si="6"/>
        <v/>
      </c>
      <c r="E44" s="12"/>
      <c r="F44" s="12"/>
      <c r="G44" s="11" t="str">
        <f t="shared" ca="1" si="7"/>
        <v/>
      </c>
      <c r="H44" s="13" t="str">
        <f>IFERROR(INDEX('Cronograma Base 2026'!$D$2:$J$25,MATCH($D$2&amp;"|PDT 621 / PLAME",'Cronograma Base 2026'!$A$2:$A$25,0),MATCH($D44,'Cronograma Base 2026'!$D$1:$J$1,0)),"")</f>
        <v/>
      </c>
      <c r="I44" s="12"/>
      <c r="J44" s="11" t="str">
        <f t="shared" ca="1" si="8"/>
        <v/>
      </c>
      <c r="K44" s="13" t="str">
        <f>IFERROR(INDEX('Cronograma Base 2026'!$D$2:$J$25,MATCH($D$2&amp;"|SIRE (Compras/Ventas)",'Cronograma Base 2026'!$A$2:$A$25,0),MATCH($D44,'Cronograma Base 2026'!$D$1:$J$1,0)),"")</f>
        <v/>
      </c>
      <c r="L44" s="12"/>
      <c r="M44" s="11" t="str">
        <f t="shared" ca="1" si="9"/>
        <v/>
      </c>
      <c r="N44" s="13" t="str">
        <f t="shared" si="10"/>
        <v/>
      </c>
      <c r="O44" s="12"/>
      <c r="P44" s="11" t="str">
        <f t="shared" ca="1" si="11"/>
        <v/>
      </c>
      <c r="Q44" s="11"/>
    </row>
    <row r="45" spans="1:17" s="6" customFormat="1" x14ac:dyDescent="0.25">
      <c r="A45" s="11">
        <v>41</v>
      </c>
      <c r="B45" s="11"/>
      <c r="C45" s="11"/>
      <c r="D45" s="11" t="str">
        <f t="shared" si="6"/>
        <v/>
      </c>
      <c r="E45" s="12"/>
      <c r="F45" s="12"/>
      <c r="G45" s="11" t="str">
        <f t="shared" ca="1" si="7"/>
        <v/>
      </c>
      <c r="H45" s="13" t="str">
        <f>IFERROR(INDEX('Cronograma Base 2026'!$D$2:$J$25,MATCH($D$2&amp;"|PDT 621 / PLAME",'Cronograma Base 2026'!$A$2:$A$25,0),MATCH($D45,'Cronograma Base 2026'!$D$1:$J$1,0)),"")</f>
        <v/>
      </c>
      <c r="I45" s="12"/>
      <c r="J45" s="11" t="str">
        <f t="shared" ca="1" si="8"/>
        <v/>
      </c>
      <c r="K45" s="13" t="str">
        <f>IFERROR(INDEX('Cronograma Base 2026'!$D$2:$J$25,MATCH($D$2&amp;"|SIRE (Compras/Ventas)",'Cronograma Base 2026'!$A$2:$A$25,0),MATCH($D45,'Cronograma Base 2026'!$D$1:$J$1,0)),"")</f>
        <v/>
      </c>
      <c r="L45" s="12"/>
      <c r="M45" s="11" t="str">
        <f t="shared" ca="1" si="9"/>
        <v/>
      </c>
      <c r="N45" s="13" t="str">
        <f t="shared" si="10"/>
        <v/>
      </c>
      <c r="O45" s="12"/>
      <c r="P45" s="11" t="str">
        <f t="shared" ca="1" si="11"/>
        <v/>
      </c>
      <c r="Q45" s="11"/>
    </row>
    <row r="46" spans="1:17" s="6" customFormat="1" x14ac:dyDescent="0.25">
      <c r="A46" s="11">
        <v>42</v>
      </c>
      <c r="B46" s="11"/>
      <c r="C46" s="11"/>
      <c r="D46" s="11" t="str">
        <f t="shared" si="6"/>
        <v/>
      </c>
      <c r="E46" s="12"/>
      <c r="F46" s="12"/>
      <c r="G46" s="11" t="str">
        <f t="shared" ca="1" si="7"/>
        <v/>
      </c>
      <c r="H46" s="13" t="str">
        <f>IFERROR(INDEX('Cronograma Base 2026'!$D$2:$J$25,MATCH($D$2&amp;"|PDT 621 / PLAME",'Cronograma Base 2026'!$A$2:$A$25,0),MATCH($D46,'Cronograma Base 2026'!$D$1:$J$1,0)),"")</f>
        <v/>
      </c>
      <c r="I46" s="12"/>
      <c r="J46" s="11" t="str">
        <f t="shared" ca="1" si="8"/>
        <v/>
      </c>
      <c r="K46" s="13" t="str">
        <f>IFERROR(INDEX('Cronograma Base 2026'!$D$2:$J$25,MATCH($D$2&amp;"|SIRE (Compras/Ventas)",'Cronograma Base 2026'!$A$2:$A$25,0),MATCH($D46,'Cronograma Base 2026'!$D$1:$J$1,0)),"")</f>
        <v/>
      </c>
      <c r="L46" s="12"/>
      <c r="M46" s="11" t="str">
        <f t="shared" ca="1" si="9"/>
        <v/>
      </c>
      <c r="N46" s="13" t="str">
        <f t="shared" si="10"/>
        <v/>
      </c>
      <c r="O46" s="12"/>
      <c r="P46" s="11" t="str">
        <f t="shared" ca="1" si="11"/>
        <v/>
      </c>
      <c r="Q46" s="11"/>
    </row>
    <row r="47" spans="1:17" s="6" customFormat="1" x14ac:dyDescent="0.25">
      <c r="A47" s="11">
        <v>43</v>
      </c>
      <c r="B47" s="11"/>
      <c r="C47" s="11"/>
      <c r="D47" s="11" t="str">
        <f t="shared" si="6"/>
        <v/>
      </c>
      <c r="E47" s="12"/>
      <c r="F47" s="12"/>
      <c r="G47" s="11" t="str">
        <f t="shared" ca="1" si="7"/>
        <v/>
      </c>
      <c r="H47" s="13" t="str">
        <f>IFERROR(INDEX('Cronograma Base 2026'!$D$2:$J$25,MATCH($D$2&amp;"|PDT 621 / PLAME",'Cronograma Base 2026'!$A$2:$A$25,0),MATCH($D47,'Cronograma Base 2026'!$D$1:$J$1,0)),"")</f>
        <v/>
      </c>
      <c r="I47" s="12"/>
      <c r="J47" s="11" t="str">
        <f t="shared" ca="1" si="8"/>
        <v/>
      </c>
      <c r="K47" s="13" t="str">
        <f>IFERROR(INDEX('Cronograma Base 2026'!$D$2:$J$25,MATCH($D$2&amp;"|SIRE (Compras/Ventas)",'Cronograma Base 2026'!$A$2:$A$25,0),MATCH($D47,'Cronograma Base 2026'!$D$1:$J$1,0)),"")</f>
        <v/>
      </c>
      <c r="L47" s="12"/>
      <c r="M47" s="11" t="str">
        <f t="shared" ca="1" si="9"/>
        <v/>
      </c>
      <c r="N47" s="13" t="str">
        <f t="shared" si="10"/>
        <v/>
      </c>
      <c r="O47" s="12"/>
      <c r="P47" s="11" t="str">
        <f t="shared" ca="1" si="11"/>
        <v/>
      </c>
      <c r="Q47" s="11"/>
    </row>
    <row r="48" spans="1:17" s="6" customFormat="1" x14ac:dyDescent="0.25">
      <c r="A48" s="11">
        <v>44</v>
      </c>
      <c r="B48" s="11"/>
      <c r="C48" s="11"/>
      <c r="D48" s="11" t="str">
        <f t="shared" si="6"/>
        <v/>
      </c>
      <c r="E48" s="12"/>
      <c r="F48" s="12"/>
      <c r="G48" s="11" t="str">
        <f t="shared" ca="1" si="7"/>
        <v/>
      </c>
      <c r="H48" s="13" t="str">
        <f>IFERROR(INDEX('Cronograma Base 2026'!$D$2:$J$25,MATCH($D$2&amp;"|PDT 621 / PLAME",'Cronograma Base 2026'!$A$2:$A$25,0),MATCH($D48,'Cronograma Base 2026'!$D$1:$J$1,0)),"")</f>
        <v/>
      </c>
      <c r="I48" s="12"/>
      <c r="J48" s="11" t="str">
        <f t="shared" ca="1" si="8"/>
        <v/>
      </c>
      <c r="K48" s="13" t="str">
        <f>IFERROR(INDEX('Cronograma Base 2026'!$D$2:$J$25,MATCH($D$2&amp;"|SIRE (Compras/Ventas)",'Cronograma Base 2026'!$A$2:$A$25,0),MATCH($D48,'Cronograma Base 2026'!$D$1:$J$1,0)),"")</f>
        <v/>
      </c>
      <c r="L48" s="12"/>
      <c r="M48" s="11" t="str">
        <f t="shared" ca="1" si="9"/>
        <v/>
      </c>
      <c r="N48" s="13" t="str">
        <f t="shared" si="10"/>
        <v/>
      </c>
      <c r="O48" s="12"/>
      <c r="P48" s="11" t="str">
        <f t="shared" ca="1" si="11"/>
        <v/>
      </c>
      <c r="Q48" s="11"/>
    </row>
    <row r="49" spans="1:17" s="6" customFormat="1" x14ac:dyDescent="0.25">
      <c r="A49" s="11">
        <v>45</v>
      </c>
      <c r="B49" s="11"/>
      <c r="C49" s="11"/>
      <c r="D49" s="11" t="str">
        <f t="shared" si="6"/>
        <v/>
      </c>
      <c r="E49" s="12"/>
      <c r="F49" s="12"/>
      <c r="G49" s="11" t="str">
        <f t="shared" ca="1" si="7"/>
        <v/>
      </c>
      <c r="H49" s="13" t="str">
        <f>IFERROR(INDEX('Cronograma Base 2026'!$D$2:$J$25,MATCH($D$2&amp;"|PDT 621 / PLAME",'Cronograma Base 2026'!$A$2:$A$25,0),MATCH($D49,'Cronograma Base 2026'!$D$1:$J$1,0)),"")</f>
        <v/>
      </c>
      <c r="I49" s="12"/>
      <c r="J49" s="11" t="str">
        <f t="shared" ca="1" si="8"/>
        <v/>
      </c>
      <c r="K49" s="13" t="str">
        <f>IFERROR(INDEX('Cronograma Base 2026'!$D$2:$J$25,MATCH($D$2&amp;"|SIRE (Compras/Ventas)",'Cronograma Base 2026'!$A$2:$A$25,0),MATCH($D49,'Cronograma Base 2026'!$D$1:$J$1,0)),"")</f>
        <v/>
      </c>
      <c r="L49" s="12"/>
      <c r="M49" s="11" t="str">
        <f t="shared" ca="1" si="9"/>
        <v/>
      </c>
      <c r="N49" s="13" t="str">
        <f t="shared" si="10"/>
        <v/>
      </c>
      <c r="O49" s="12"/>
      <c r="P49" s="11" t="str">
        <f t="shared" ca="1" si="11"/>
        <v/>
      </c>
      <c r="Q49" s="11"/>
    </row>
    <row r="50" spans="1:17" s="6" customFormat="1" x14ac:dyDescent="0.25">
      <c r="A50" s="11">
        <v>46</v>
      </c>
      <c r="B50" s="11"/>
      <c r="C50" s="11"/>
      <c r="D50" s="11" t="str">
        <f t="shared" si="6"/>
        <v/>
      </c>
      <c r="E50" s="12"/>
      <c r="F50" s="12"/>
      <c r="G50" s="11" t="str">
        <f t="shared" ca="1" si="7"/>
        <v/>
      </c>
      <c r="H50" s="13" t="str">
        <f>IFERROR(INDEX('Cronograma Base 2026'!$D$2:$J$25,MATCH($D$2&amp;"|PDT 621 / PLAME",'Cronograma Base 2026'!$A$2:$A$25,0),MATCH($D50,'Cronograma Base 2026'!$D$1:$J$1,0)),"")</f>
        <v/>
      </c>
      <c r="I50" s="12"/>
      <c r="J50" s="11" t="str">
        <f t="shared" ca="1" si="8"/>
        <v/>
      </c>
      <c r="K50" s="13" t="str">
        <f>IFERROR(INDEX('Cronograma Base 2026'!$D$2:$J$25,MATCH($D$2&amp;"|SIRE (Compras/Ventas)",'Cronograma Base 2026'!$A$2:$A$25,0),MATCH($D50,'Cronograma Base 2026'!$D$1:$J$1,0)),"")</f>
        <v/>
      </c>
      <c r="L50" s="12"/>
      <c r="M50" s="11" t="str">
        <f t="shared" ca="1" si="9"/>
        <v/>
      </c>
      <c r="N50" s="13" t="str">
        <f t="shared" si="10"/>
        <v/>
      </c>
      <c r="O50" s="12"/>
      <c r="P50" s="11" t="str">
        <f t="shared" ca="1" si="11"/>
        <v/>
      </c>
      <c r="Q50" s="11"/>
    </row>
    <row r="51" spans="1:17" s="6" customFormat="1" x14ac:dyDescent="0.25">
      <c r="A51" s="11">
        <v>47</v>
      </c>
      <c r="B51" s="11"/>
      <c r="C51" s="11"/>
      <c r="D51" s="11" t="str">
        <f t="shared" si="6"/>
        <v/>
      </c>
      <c r="E51" s="12"/>
      <c r="F51" s="12"/>
      <c r="G51" s="11" t="str">
        <f t="shared" ca="1" si="7"/>
        <v/>
      </c>
      <c r="H51" s="13" t="str">
        <f>IFERROR(INDEX('Cronograma Base 2026'!$D$2:$J$25,MATCH($D$2&amp;"|PDT 621 / PLAME",'Cronograma Base 2026'!$A$2:$A$25,0),MATCH($D51,'Cronograma Base 2026'!$D$1:$J$1,0)),"")</f>
        <v/>
      </c>
      <c r="I51" s="12"/>
      <c r="J51" s="11" t="str">
        <f t="shared" ca="1" si="8"/>
        <v/>
      </c>
      <c r="K51" s="13" t="str">
        <f>IFERROR(INDEX('Cronograma Base 2026'!$D$2:$J$25,MATCH($D$2&amp;"|SIRE (Compras/Ventas)",'Cronograma Base 2026'!$A$2:$A$25,0),MATCH($D51,'Cronograma Base 2026'!$D$1:$J$1,0)),"")</f>
        <v/>
      </c>
      <c r="L51" s="12"/>
      <c r="M51" s="11" t="str">
        <f t="shared" ca="1" si="9"/>
        <v/>
      </c>
      <c r="N51" s="13" t="str">
        <f t="shared" si="10"/>
        <v/>
      </c>
      <c r="O51" s="12"/>
      <c r="P51" s="11" t="str">
        <f t="shared" ca="1" si="11"/>
        <v/>
      </c>
      <c r="Q51" s="11"/>
    </row>
    <row r="52" spans="1:17" s="6" customFormat="1" x14ac:dyDescent="0.25">
      <c r="A52" s="11">
        <v>48</v>
      </c>
      <c r="B52" s="11"/>
      <c r="C52" s="11"/>
      <c r="D52" s="11" t="str">
        <f t="shared" si="6"/>
        <v/>
      </c>
      <c r="E52" s="12"/>
      <c r="F52" s="12"/>
      <c r="G52" s="11" t="str">
        <f t="shared" ca="1" si="7"/>
        <v/>
      </c>
      <c r="H52" s="13" t="str">
        <f>IFERROR(INDEX('Cronograma Base 2026'!$D$2:$J$25,MATCH($D$2&amp;"|PDT 621 / PLAME",'Cronograma Base 2026'!$A$2:$A$25,0),MATCH($D52,'Cronograma Base 2026'!$D$1:$J$1,0)),"")</f>
        <v/>
      </c>
      <c r="I52" s="12"/>
      <c r="J52" s="11" t="str">
        <f t="shared" ca="1" si="8"/>
        <v/>
      </c>
      <c r="K52" s="13" t="str">
        <f>IFERROR(INDEX('Cronograma Base 2026'!$D$2:$J$25,MATCH($D$2&amp;"|SIRE (Compras/Ventas)",'Cronograma Base 2026'!$A$2:$A$25,0),MATCH($D52,'Cronograma Base 2026'!$D$1:$J$1,0)),"")</f>
        <v/>
      </c>
      <c r="L52" s="12"/>
      <c r="M52" s="11" t="str">
        <f t="shared" ca="1" si="9"/>
        <v/>
      </c>
      <c r="N52" s="13" t="str">
        <f t="shared" si="10"/>
        <v/>
      </c>
      <c r="O52" s="12"/>
      <c r="P52" s="11" t="str">
        <f t="shared" ca="1" si="11"/>
        <v/>
      </c>
      <c r="Q52" s="11"/>
    </row>
    <row r="53" spans="1:17" s="6" customFormat="1" x14ac:dyDescent="0.25">
      <c r="A53" s="11">
        <v>49</v>
      </c>
      <c r="B53" s="11"/>
      <c r="C53" s="11"/>
      <c r="D53" s="11" t="str">
        <f t="shared" si="6"/>
        <v/>
      </c>
      <c r="E53" s="12"/>
      <c r="F53" s="12"/>
      <c r="G53" s="11" t="str">
        <f t="shared" ca="1" si="7"/>
        <v/>
      </c>
      <c r="H53" s="13" t="str">
        <f>IFERROR(INDEX('Cronograma Base 2026'!$D$2:$J$25,MATCH($D$2&amp;"|PDT 621 / PLAME",'Cronograma Base 2026'!$A$2:$A$25,0),MATCH($D53,'Cronograma Base 2026'!$D$1:$J$1,0)),"")</f>
        <v/>
      </c>
      <c r="I53" s="12"/>
      <c r="J53" s="11" t="str">
        <f t="shared" ca="1" si="8"/>
        <v/>
      </c>
      <c r="K53" s="13" t="str">
        <f>IFERROR(INDEX('Cronograma Base 2026'!$D$2:$J$25,MATCH($D$2&amp;"|SIRE (Compras/Ventas)",'Cronograma Base 2026'!$A$2:$A$25,0),MATCH($D53,'Cronograma Base 2026'!$D$1:$J$1,0)),"")</f>
        <v/>
      </c>
      <c r="L53" s="12"/>
      <c r="M53" s="11" t="str">
        <f t="shared" ca="1" si="9"/>
        <v/>
      </c>
      <c r="N53" s="13" t="str">
        <f t="shared" si="10"/>
        <v/>
      </c>
      <c r="O53" s="12"/>
      <c r="P53" s="11" t="str">
        <f t="shared" ca="1" si="11"/>
        <v/>
      </c>
      <c r="Q53" s="11"/>
    </row>
    <row r="54" spans="1:17" s="6" customFormat="1" x14ac:dyDescent="0.25">
      <c r="A54" s="11">
        <v>50</v>
      </c>
      <c r="B54" s="11"/>
      <c r="C54" s="11"/>
      <c r="D54" s="11" t="str">
        <f t="shared" si="6"/>
        <v/>
      </c>
      <c r="E54" s="12"/>
      <c r="F54" s="12"/>
      <c r="G54" s="11" t="str">
        <f t="shared" ca="1" si="7"/>
        <v/>
      </c>
      <c r="H54" s="13" t="str">
        <f>IFERROR(INDEX('Cronograma Base 2026'!$D$2:$J$25,MATCH($D$2&amp;"|PDT 621 / PLAME",'Cronograma Base 2026'!$A$2:$A$25,0),MATCH($D54,'Cronograma Base 2026'!$D$1:$J$1,0)),"")</f>
        <v/>
      </c>
      <c r="I54" s="12"/>
      <c r="J54" s="11" t="str">
        <f t="shared" ca="1" si="8"/>
        <v/>
      </c>
      <c r="K54" s="13" t="str">
        <f>IFERROR(INDEX('Cronograma Base 2026'!$D$2:$J$25,MATCH($D$2&amp;"|SIRE (Compras/Ventas)",'Cronograma Base 2026'!$A$2:$A$25,0),MATCH($D54,'Cronograma Base 2026'!$D$1:$J$1,0)),"")</f>
        <v/>
      </c>
      <c r="L54" s="12"/>
      <c r="M54" s="11" t="str">
        <f t="shared" ca="1" si="9"/>
        <v/>
      </c>
      <c r="N54" s="13" t="str">
        <f t="shared" si="10"/>
        <v/>
      </c>
      <c r="O54" s="12"/>
      <c r="P54" s="11" t="str">
        <f t="shared" ca="1" si="11"/>
        <v/>
      </c>
      <c r="Q54" s="11"/>
    </row>
    <row r="55" spans="1:17" s="6" customFormat="1" x14ac:dyDescent="0.25">
      <c r="A55" s="11">
        <v>51</v>
      </c>
      <c r="B55" s="11"/>
      <c r="C55" s="11"/>
      <c r="D55" s="11" t="str">
        <f t="shared" si="6"/>
        <v/>
      </c>
      <c r="E55" s="12"/>
      <c r="F55" s="12"/>
      <c r="G55" s="11" t="str">
        <f t="shared" ca="1" si="7"/>
        <v/>
      </c>
      <c r="H55" s="13" t="str">
        <f>IFERROR(INDEX('Cronograma Base 2026'!$D$2:$J$25,MATCH($D$2&amp;"|PDT 621 / PLAME",'Cronograma Base 2026'!$A$2:$A$25,0),MATCH($D55,'Cronograma Base 2026'!$D$1:$J$1,0)),"")</f>
        <v/>
      </c>
      <c r="I55" s="12"/>
      <c r="J55" s="11" t="str">
        <f t="shared" ca="1" si="8"/>
        <v/>
      </c>
      <c r="K55" s="13" t="str">
        <f>IFERROR(INDEX('Cronograma Base 2026'!$D$2:$J$25,MATCH($D$2&amp;"|SIRE (Compras/Ventas)",'Cronograma Base 2026'!$A$2:$A$25,0),MATCH($D55,'Cronograma Base 2026'!$D$1:$J$1,0)),"")</f>
        <v/>
      </c>
      <c r="L55" s="12"/>
      <c r="M55" s="11" t="str">
        <f t="shared" ca="1" si="9"/>
        <v/>
      </c>
      <c r="N55" s="13" t="str">
        <f t="shared" si="10"/>
        <v/>
      </c>
      <c r="O55" s="12"/>
      <c r="P55" s="11" t="str">
        <f t="shared" ca="1" si="11"/>
        <v/>
      </c>
      <c r="Q55" s="11"/>
    </row>
    <row r="56" spans="1:17" s="6" customFormat="1" x14ac:dyDescent="0.25">
      <c r="A56" s="11">
        <v>52</v>
      </c>
      <c r="B56" s="11"/>
      <c r="C56" s="11"/>
      <c r="D56" s="11" t="str">
        <f t="shared" si="6"/>
        <v/>
      </c>
      <c r="E56" s="12"/>
      <c r="F56" s="12"/>
      <c r="G56" s="11" t="str">
        <f t="shared" ca="1" si="7"/>
        <v/>
      </c>
      <c r="H56" s="13" t="str">
        <f>IFERROR(INDEX('Cronograma Base 2026'!$D$2:$J$25,MATCH($D$2&amp;"|PDT 621 / PLAME",'Cronograma Base 2026'!$A$2:$A$25,0),MATCH($D56,'Cronograma Base 2026'!$D$1:$J$1,0)),"")</f>
        <v/>
      </c>
      <c r="I56" s="12"/>
      <c r="J56" s="11" t="str">
        <f t="shared" ca="1" si="8"/>
        <v/>
      </c>
      <c r="K56" s="13" t="str">
        <f>IFERROR(INDEX('Cronograma Base 2026'!$D$2:$J$25,MATCH($D$2&amp;"|SIRE (Compras/Ventas)",'Cronograma Base 2026'!$A$2:$A$25,0),MATCH($D56,'Cronograma Base 2026'!$D$1:$J$1,0)),"")</f>
        <v/>
      </c>
      <c r="L56" s="12"/>
      <c r="M56" s="11" t="str">
        <f t="shared" ca="1" si="9"/>
        <v/>
      </c>
      <c r="N56" s="13" t="str">
        <f t="shared" si="10"/>
        <v/>
      </c>
      <c r="O56" s="12"/>
      <c r="P56" s="11" t="str">
        <f t="shared" ca="1" si="11"/>
        <v/>
      </c>
      <c r="Q56" s="11"/>
    </row>
    <row r="57" spans="1:17" s="6" customFormat="1" x14ac:dyDescent="0.25">
      <c r="A57" s="11">
        <v>53</v>
      </c>
      <c r="B57" s="11"/>
      <c r="C57" s="11"/>
      <c r="D57" s="11" t="str">
        <f t="shared" si="6"/>
        <v/>
      </c>
      <c r="E57" s="12"/>
      <c r="F57" s="12"/>
      <c r="G57" s="11" t="str">
        <f t="shared" ca="1" si="7"/>
        <v/>
      </c>
      <c r="H57" s="13" t="str">
        <f>IFERROR(INDEX('Cronograma Base 2026'!$D$2:$J$25,MATCH($D$2&amp;"|PDT 621 / PLAME",'Cronograma Base 2026'!$A$2:$A$25,0),MATCH($D57,'Cronograma Base 2026'!$D$1:$J$1,0)),"")</f>
        <v/>
      </c>
      <c r="I57" s="12"/>
      <c r="J57" s="11" t="str">
        <f t="shared" ca="1" si="8"/>
        <v/>
      </c>
      <c r="K57" s="13" t="str">
        <f>IFERROR(INDEX('Cronograma Base 2026'!$D$2:$J$25,MATCH($D$2&amp;"|SIRE (Compras/Ventas)",'Cronograma Base 2026'!$A$2:$A$25,0),MATCH($D57,'Cronograma Base 2026'!$D$1:$J$1,0)),"")</f>
        <v/>
      </c>
      <c r="L57" s="12"/>
      <c r="M57" s="11" t="str">
        <f t="shared" ca="1" si="9"/>
        <v/>
      </c>
      <c r="N57" s="13" t="str">
        <f t="shared" si="10"/>
        <v/>
      </c>
      <c r="O57" s="12"/>
      <c r="P57" s="11" t="str">
        <f t="shared" ca="1" si="11"/>
        <v/>
      </c>
      <c r="Q57" s="11"/>
    </row>
    <row r="58" spans="1:17" s="6" customFormat="1" x14ac:dyDescent="0.25">
      <c r="A58" s="11">
        <v>54</v>
      </c>
      <c r="B58" s="11"/>
      <c r="C58" s="11"/>
      <c r="D58" s="11" t="str">
        <f t="shared" si="6"/>
        <v/>
      </c>
      <c r="E58" s="12"/>
      <c r="F58" s="12"/>
      <c r="G58" s="11" t="str">
        <f t="shared" ca="1" si="7"/>
        <v/>
      </c>
      <c r="H58" s="13" t="str">
        <f>IFERROR(INDEX('Cronograma Base 2026'!$D$2:$J$25,MATCH($D$2&amp;"|PDT 621 / PLAME",'Cronograma Base 2026'!$A$2:$A$25,0),MATCH($D58,'Cronograma Base 2026'!$D$1:$J$1,0)),"")</f>
        <v/>
      </c>
      <c r="I58" s="12"/>
      <c r="J58" s="11" t="str">
        <f t="shared" ca="1" si="8"/>
        <v/>
      </c>
      <c r="K58" s="13" t="str">
        <f>IFERROR(INDEX('Cronograma Base 2026'!$D$2:$J$25,MATCH($D$2&amp;"|SIRE (Compras/Ventas)",'Cronograma Base 2026'!$A$2:$A$25,0),MATCH($D58,'Cronograma Base 2026'!$D$1:$J$1,0)),"")</f>
        <v/>
      </c>
      <c r="L58" s="12"/>
      <c r="M58" s="11" t="str">
        <f t="shared" ca="1" si="9"/>
        <v/>
      </c>
      <c r="N58" s="13" t="str">
        <f t="shared" si="10"/>
        <v/>
      </c>
      <c r="O58" s="12"/>
      <c r="P58" s="11" t="str">
        <f t="shared" ca="1" si="11"/>
        <v/>
      </c>
      <c r="Q58" s="11"/>
    </row>
    <row r="59" spans="1:17" s="6" customFormat="1" x14ac:dyDescent="0.25">
      <c r="A59" s="11">
        <v>55</v>
      </c>
      <c r="B59" s="11"/>
      <c r="C59" s="11"/>
      <c r="D59" s="11" t="str">
        <f t="shared" si="6"/>
        <v/>
      </c>
      <c r="E59" s="12"/>
      <c r="F59" s="12"/>
      <c r="G59" s="11" t="str">
        <f t="shared" ca="1" si="7"/>
        <v/>
      </c>
      <c r="H59" s="13" t="str">
        <f>IFERROR(INDEX('Cronograma Base 2026'!$D$2:$J$25,MATCH($D$2&amp;"|PDT 621 / PLAME",'Cronograma Base 2026'!$A$2:$A$25,0),MATCH($D59,'Cronograma Base 2026'!$D$1:$J$1,0)),"")</f>
        <v/>
      </c>
      <c r="I59" s="12"/>
      <c r="J59" s="11" t="str">
        <f t="shared" ca="1" si="8"/>
        <v/>
      </c>
      <c r="K59" s="13" t="str">
        <f>IFERROR(INDEX('Cronograma Base 2026'!$D$2:$J$25,MATCH($D$2&amp;"|SIRE (Compras/Ventas)",'Cronograma Base 2026'!$A$2:$A$25,0),MATCH($D59,'Cronograma Base 2026'!$D$1:$J$1,0)),"")</f>
        <v/>
      </c>
      <c r="L59" s="12"/>
      <c r="M59" s="11" t="str">
        <f t="shared" ca="1" si="9"/>
        <v/>
      </c>
      <c r="N59" s="13" t="str">
        <f t="shared" si="10"/>
        <v/>
      </c>
      <c r="O59" s="12"/>
      <c r="P59" s="11" t="str">
        <f t="shared" ca="1" si="11"/>
        <v/>
      </c>
      <c r="Q59" s="11"/>
    </row>
    <row r="60" spans="1:17" s="6" customFormat="1" x14ac:dyDescent="0.25">
      <c r="A60" s="11">
        <v>56</v>
      </c>
      <c r="B60" s="11"/>
      <c r="C60" s="11"/>
      <c r="D60" s="11" t="str">
        <f t="shared" si="6"/>
        <v/>
      </c>
      <c r="E60" s="12"/>
      <c r="F60" s="12"/>
      <c r="G60" s="11" t="str">
        <f t="shared" ca="1" si="7"/>
        <v/>
      </c>
      <c r="H60" s="13" t="str">
        <f>IFERROR(INDEX('Cronograma Base 2026'!$D$2:$J$25,MATCH($D$2&amp;"|PDT 621 / PLAME",'Cronograma Base 2026'!$A$2:$A$25,0),MATCH($D60,'Cronograma Base 2026'!$D$1:$J$1,0)),"")</f>
        <v/>
      </c>
      <c r="I60" s="12"/>
      <c r="J60" s="11" t="str">
        <f t="shared" ca="1" si="8"/>
        <v/>
      </c>
      <c r="K60" s="13" t="str">
        <f>IFERROR(INDEX('Cronograma Base 2026'!$D$2:$J$25,MATCH($D$2&amp;"|SIRE (Compras/Ventas)",'Cronograma Base 2026'!$A$2:$A$25,0),MATCH($D60,'Cronograma Base 2026'!$D$1:$J$1,0)),"")</f>
        <v/>
      </c>
      <c r="L60" s="12"/>
      <c r="M60" s="11" t="str">
        <f t="shared" ca="1" si="9"/>
        <v/>
      </c>
      <c r="N60" s="13" t="str">
        <f t="shared" si="10"/>
        <v/>
      </c>
      <c r="O60" s="12"/>
      <c r="P60" s="11" t="str">
        <f t="shared" ca="1" si="11"/>
        <v/>
      </c>
      <c r="Q60" s="11"/>
    </row>
    <row r="61" spans="1:17" s="6" customFormat="1" x14ac:dyDescent="0.25">
      <c r="A61" s="11">
        <v>57</v>
      </c>
      <c r="B61" s="11"/>
      <c r="C61" s="11"/>
      <c r="D61" s="11" t="str">
        <f t="shared" si="6"/>
        <v/>
      </c>
      <c r="E61" s="12"/>
      <c r="F61" s="12"/>
      <c r="G61" s="11" t="str">
        <f t="shared" ca="1" si="7"/>
        <v/>
      </c>
      <c r="H61" s="13" t="str">
        <f>IFERROR(INDEX('Cronograma Base 2026'!$D$2:$J$25,MATCH($D$2&amp;"|PDT 621 / PLAME",'Cronograma Base 2026'!$A$2:$A$25,0),MATCH($D61,'Cronograma Base 2026'!$D$1:$J$1,0)),"")</f>
        <v/>
      </c>
      <c r="I61" s="12"/>
      <c r="J61" s="11" t="str">
        <f t="shared" ca="1" si="8"/>
        <v/>
      </c>
      <c r="K61" s="13" t="str">
        <f>IFERROR(INDEX('Cronograma Base 2026'!$D$2:$J$25,MATCH($D$2&amp;"|SIRE (Compras/Ventas)",'Cronograma Base 2026'!$A$2:$A$25,0),MATCH($D61,'Cronograma Base 2026'!$D$1:$J$1,0)),"")</f>
        <v/>
      </c>
      <c r="L61" s="12"/>
      <c r="M61" s="11" t="str">
        <f t="shared" ca="1" si="9"/>
        <v/>
      </c>
      <c r="N61" s="13" t="str">
        <f t="shared" si="10"/>
        <v/>
      </c>
      <c r="O61" s="12"/>
      <c r="P61" s="11" t="str">
        <f t="shared" ca="1" si="11"/>
        <v/>
      </c>
      <c r="Q61" s="11"/>
    </row>
    <row r="62" spans="1:17" s="6" customFormat="1" x14ac:dyDescent="0.25">
      <c r="A62" s="11">
        <v>58</v>
      </c>
      <c r="B62" s="11"/>
      <c r="C62" s="11"/>
      <c r="D62" s="11" t="str">
        <f t="shared" si="6"/>
        <v/>
      </c>
      <c r="E62" s="12"/>
      <c r="F62" s="12"/>
      <c r="G62" s="11" t="str">
        <f t="shared" ca="1" si="7"/>
        <v/>
      </c>
      <c r="H62" s="13" t="str">
        <f>IFERROR(INDEX('Cronograma Base 2026'!$D$2:$J$25,MATCH($D$2&amp;"|PDT 621 / PLAME",'Cronograma Base 2026'!$A$2:$A$25,0),MATCH($D62,'Cronograma Base 2026'!$D$1:$J$1,0)),"")</f>
        <v/>
      </c>
      <c r="I62" s="12"/>
      <c r="J62" s="11" t="str">
        <f t="shared" ca="1" si="8"/>
        <v/>
      </c>
      <c r="K62" s="13" t="str">
        <f>IFERROR(INDEX('Cronograma Base 2026'!$D$2:$J$25,MATCH($D$2&amp;"|SIRE (Compras/Ventas)",'Cronograma Base 2026'!$A$2:$A$25,0),MATCH($D62,'Cronograma Base 2026'!$D$1:$J$1,0)),"")</f>
        <v/>
      </c>
      <c r="L62" s="12"/>
      <c r="M62" s="11" t="str">
        <f t="shared" ca="1" si="9"/>
        <v/>
      </c>
      <c r="N62" s="13" t="str">
        <f t="shared" si="10"/>
        <v/>
      </c>
      <c r="O62" s="12"/>
      <c r="P62" s="11" t="str">
        <f t="shared" ca="1" si="11"/>
        <v/>
      </c>
      <c r="Q62" s="11"/>
    </row>
    <row r="63" spans="1:17" s="6" customFormat="1" x14ac:dyDescent="0.25">
      <c r="A63" s="11">
        <v>59</v>
      </c>
      <c r="B63" s="11"/>
      <c r="C63" s="11"/>
      <c r="D63" s="11" t="str">
        <f t="shared" si="6"/>
        <v/>
      </c>
      <c r="E63" s="12"/>
      <c r="F63" s="12"/>
      <c r="G63" s="11" t="str">
        <f t="shared" ca="1" si="7"/>
        <v/>
      </c>
      <c r="H63" s="13" t="str">
        <f>IFERROR(INDEX('Cronograma Base 2026'!$D$2:$J$25,MATCH($D$2&amp;"|PDT 621 / PLAME",'Cronograma Base 2026'!$A$2:$A$25,0),MATCH($D63,'Cronograma Base 2026'!$D$1:$J$1,0)),"")</f>
        <v/>
      </c>
      <c r="I63" s="12"/>
      <c r="J63" s="11" t="str">
        <f t="shared" ca="1" si="8"/>
        <v/>
      </c>
      <c r="K63" s="13" t="str">
        <f>IFERROR(INDEX('Cronograma Base 2026'!$D$2:$J$25,MATCH($D$2&amp;"|SIRE (Compras/Ventas)",'Cronograma Base 2026'!$A$2:$A$25,0),MATCH($D63,'Cronograma Base 2026'!$D$1:$J$1,0)),"")</f>
        <v/>
      </c>
      <c r="L63" s="12"/>
      <c r="M63" s="11" t="str">
        <f t="shared" ca="1" si="9"/>
        <v/>
      </c>
      <c r="N63" s="13" t="str">
        <f t="shared" si="10"/>
        <v/>
      </c>
      <c r="O63" s="12"/>
      <c r="P63" s="11" t="str">
        <f t="shared" ca="1" si="11"/>
        <v/>
      </c>
      <c r="Q63" s="11"/>
    </row>
    <row r="64" spans="1:17" s="6" customFormat="1" x14ac:dyDescent="0.25">
      <c r="A64" s="11">
        <v>60</v>
      </c>
      <c r="B64" s="11"/>
      <c r="C64" s="11"/>
      <c r="D64" s="11" t="str">
        <f t="shared" si="6"/>
        <v/>
      </c>
      <c r="E64" s="12"/>
      <c r="F64" s="12"/>
      <c r="G64" s="11" t="str">
        <f t="shared" ca="1" si="7"/>
        <v/>
      </c>
      <c r="H64" s="13" t="str">
        <f>IFERROR(INDEX('Cronograma Base 2026'!$D$2:$J$25,MATCH($D$2&amp;"|PDT 621 / PLAME",'Cronograma Base 2026'!$A$2:$A$25,0),MATCH($D64,'Cronograma Base 2026'!$D$1:$J$1,0)),"")</f>
        <v/>
      </c>
      <c r="I64" s="12"/>
      <c r="J64" s="11" t="str">
        <f t="shared" ca="1" si="8"/>
        <v/>
      </c>
      <c r="K64" s="13" t="str">
        <f>IFERROR(INDEX('Cronograma Base 2026'!$D$2:$J$25,MATCH($D$2&amp;"|SIRE (Compras/Ventas)",'Cronograma Base 2026'!$A$2:$A$25,0),MATCH($D64,'Cronograma Base 2026'!$D$1:$J$1,0)),"")</f>
        <v/>
      </c>
      <c r="L64" s="12"/>
      <c r="M64" s="11" t="str">
        <f t="shared" ca="1" si="9"/>
        <v/>
      </c>
      <c r="N64" s="13" t="str">
        <f t="shared" si="10"/>
        <v/>
      </c>
      <c r="O64" s="12"/>
      <c r="P64" s="11" t="str">
        <f t="shared" ca="1" si="11"/>
        <v/>
      </c>
      <c r="Q64" s="11"/>
    </row>
    <row r="65" spans="1:17" s="6" customFormat="1" x14ac:dyDescent="0.25">
      <c r="A65" s="11">
        <v>61</v>
      </c>
      <c r="B65" s="11"/>
      <c r="C65" s="11"/>
      <c r="D65" s="11" t="str">
        <f t="shared" si="6"/>
        <v/>
      </c>
      <c r="E65" s="12"/>
      <c r="F65" s="12"/>
      <c r="G65" s="11" t="str">
        <f t="shared" ca="1" si="7"/>
        <v/>
      </c>
      <c r="H65" s="13" t="str">
        <f>IFERROR(INDEX('Cronograma Base 2026'!$D$2:$J$25,MATCH($D$2&amp;"|PDT 621 / PLAME",'Cronograma Base 2026'!$A$2:$A$25,0),MATCH($D65,'Cronograma Base 2026'!$D$1:$J$1,0)),"")</f>
        <v/>
      </c>
      <c r="I65" s="12"/>
      <c r="J65" s="11" t="str">
        <f t="shared" ca="1" si="8"/>
        <v/>
      </c>
      <c r="K65" s="13" t="str">
        <f>IFERROR(INDEX('Cronograma Base 2026'!$D$2:$J$25,MATCH($D$2&amp;"|SIRE (Compras/Ventas)",'Cronograma Base 2026'!$A$2:$A$25,0),MATCH($D65,'Cronograma Base 2026'!$D$1:$J$1,0)),"")</f>
        <v/>
      </c>
      <c r="L65" s="12"/>
      <c r="M65" s="11" t="str">
        <f t="shared" ca="1" si="9"/>
        <v/>
      </c>
      <c r="N65" s="13" t="str">
        <f t="shared" si="10"/>
        <v/>
      </c>
      <c r="O65" s="12"/>
      <c r="P65" s="11" t="str">
        <f t="shared" ca="1" si="11"/>
        <v/>
      </c>
      <c r="Q65" s="11"/>
    </row>
    <row r="66" spans="1:17" s="6" customFormat="1" x14ac:dyDescent="0.25">
      <c r="A66" s="11">
        <v>62</v>
      </c>
      <c r="B66" s="11"/>
      <c r="C66" s="11"/>
      <c r="D66" s="11" t="str">
        <f t="shared" si="6"/>
        <v/>
      </c>
      <c r="E66" s="12"/>
      <c r="F66" s="12"/>
      <c r="G66" s="11" t="str">
        <f t="shared" ca="1" si="7"/>
        <v/>
      </c>
      <c r="H66" s="13" t="str">
        <f>IFERROR(INDEX('Cronograma Base 2026'!$D$2:$J$25,MATCH($D$2&amp;"|PDT 621 / PLAME",'Cronograma Base 2026'!$A$2:$A$25,0),MATCH($D66,'Cronograma Base 2026'!$D$1:$J$1,0)),"")</f>
        <v/>
      </c>
      <c r="I66" s="12"/>
      <c r="J66" s="11" t="str">
        <f t="shared" ca="1" si="8"/>
        <v/>
      </c>
      <c r="K66" s="13" t="str">
        <f>IFERROR(INDEX('Cronograma Base 2026'!$D$2:$J$25,MATCH($D$2&amp;"|SIRE (Compras/Ventas)",'Cronograma Base 2026'!$A$2:$A$25,0),MATCH($D66,'Cronograma Base 2026'!$D$1:$J$1,0)),"")</f>
        <v/>
      </c>
      <c r="L66" s="12"/>
      <c r="M66" s="11" t="str">
        <f t="shared" ca="1" si="9"/>
        <v/>
      </c>
      <c r="N66" s="13" t="str">
        <f t="shared" si="10"/>
        <v/>
      </c>
      <c r="O66" s="12"/>
      <c r="P66" s="11" t="str">
        <f t="shared" ca="1" si="11"/>
        <v/>
      </c>
      <c r="Q66" s="11"/>
    </row>
    <row r="67" spans="1:17" s="6" customFormat="1" x14ac:dyDescent="0.25">
      <c r="A67" s="11">
        <v>63</v>
      </c>
      <c r="B67" s="11"/>
      <c r="C67" s="11"/>
      <c r="D67" s="11" t="str">
        <f t="shared" si="6"/>
        <v/>
      </c>
      <c r="E67" s="12"/>
      <c r="F67" s="12"/>
      <c r="G67" s="11" t="str">
        <f t="shared" ca="1" si="7"/>
        <v/>
      </c>
      <c r="H67" s="13" t="str">
        <f>IFERROR(INDEX('Cronograma Base 2026'!$D$2:$J$25,MATCH($D$2&amp;"|PDT 621 / PLAME",'Cronograma Base 2026'!$A$2:$A$25,0),MATCH($D67,'Cronograma Base 2026'!$D$1:$J$1,0)),"")</f>
        <v/>
      </c>
      <c r="I67" s="12"/>
      <c r="J67" s="11" t="str">
        <f t="shared" ca="1" si="8"/>
        <v/>
      </c>
      <c r="K67" s="13" t="str">
        <f>IFERROR(INDEX('Cronograma Base 2026'!$D$2:$J$25,MATCH($D$2&amp;"|SIRE (Compras/Ventas)",'Cronograma Base 2026'!$A$2:$A$25,0),MATCH($D67,'Cronograma Base 2026'!$D$1:$J$1,0)),"")</f>
        <v/>
      </c>
      <c r="L67" s="12"/>
      <c r="M67" s="11" t="str">
        <f t="shared" ca="1" si="9"/>
        <v/>
      </c>
      <c r="N67" s="13" t="str">
        <f t="shared" si="10"/>
        <v/>
      </c>
      <c r="O67" s="12"/>
      <c r="P67" s="11" t="str">
        <f t="shared" ca="1" si="11"/>
        <v/>
      </c>
      <c r="Q67" s="11"/>
    </row>
    <row r="68" spans="1:17" s="6" customFormat="1" x14ac:dyDescent="0.25">
      <c r="A68" s="11">
        <v>64</v>
      </c>
      <c r="B68" s="11"/>
      <c r="C68" s="11"/>
      <c r="D68" s="11" t="str">
        <f t="shared" si="6"/>
        <v/>
      </c>
      <c r="E68" s="12"/>
      <c r="F68" s="12"/>
      <c r="G68" s="11" t="str">
        <f t="shared" ca="1" si="7"/>
        <v/>
      </c>
      <c r="H68" s="13" t="str">
        <f>IFERROR(INDEX('Cronograma Base 2026'!$D$2:$J$25,MATCH($D$2&amp;"|PDT 621 / PLAME",'Cronograma Base 2026'!$A$2:$A$25,0),MATCH($D68,'Cronograma Base 2026'!$D$1:$J$1,0)),"")</f>
        <v/>
      </c>
      <c r="I68" s="12"/>
      <c r="J68" s="11" t="str">
        <f t="shared" ca="1" si="8"/>
        <v/>
      </c>
      <c r="K68" s="13" t="str">
        <f>IFERROR(INDEX('Cronograma Base 2026'!$D$2:$J$25,MATCH($D$2&amp;"|SIRE (Compras/Ventas)",'Cronograma Base 2026'!$A$2:$A$25,0),MATCH($D68,'Cronograma Base 2026'!$D$1:$J$1,0)),"")</f>
        <v/>
      </c>
      <c r="L68" s="12"/>
      <c r="M68" s="11" t="str">
        <f t="shared" ca="1" si="9"/>
        <v/>
      </c>
      <c r="N68" s="13" t="str">
        <f t="shared" si="10"/>
        <v/>
      </c>
      <c r="O68" s="12"/>
      <c r="P68" s="11" t="str">
        <f t="shared" ca="1" si="11"/>
        <v/>
      </c>
      <c r="Q68" s="11"/>
    </row>
    <row r="69" spans="1:17" s="6" customFormat="1" x14ac:dyDescent="0.25">
      <c r="A69" s="11">
        <v>65</v>
      </c>
      <c r="B69" s="11"/>
      <c r="C69" s="11"/>
      <c r="D69" s="11" t="str">
        <f t="shared" si="6"/>
        <v/>
      </c>
      <c r="E69" s="12"/>
      <c r="F69" s="12"/>
      <c r="G69" s="11" t="str">
        <f t="shared" ca="1" si="7"/>
        <v/>
      </c>
      <c r="H69" s="13" t="str">
        <f>IFERROR(INDEX('Cronograma Base 2026'!$D$2:$J$25,MATCH($D$2&amp;"|PDT 621 / PLAME",'Cronograma Base 2026'!$A$2:$A$25,0),MATCH($D69,'Cronograma Base 2026'!$D$1:$J$1,0)),"")</f>
        <v/>
      </c>
      <c r="I69" s="12"/>
      <c r="J69" s="11" t="str">
        <f t="shared" ca="1" si="8"/>
        <v/>
      </c>
      <c r="K69" s="13" t="str">
        <f>IFERROR(INDEX('Cronograma Base 2026'!$D$2:$J$25,MATCH($D$2&amp;"|SIRE (Compras/Ventas)",'Cronograma Base 2026'!$A$2:$A$25,0),MATCH($D69,'Cronograma Base 2026'!$D$1:$J$1,0)),"")</f>
        <v/>
      </c>
      <c r="L69" s="12"/>
      <c r="M69" s="11" t="str">
        <f t="shared" ca="1" si="9"/>
        <v/>
      </c>
      <c r="N69" s="13" t="str">
        <f t="shared" si="10"/>
        <v/>
      </c>
      <c r="O69" s="12"/>
      <c r="P69" s="11" t="str">
        <f t="shared" ca="1" si="11"/>
        <v/>
      </c>
      <c r="Q69" s="11"/>
    </row>
    <row r="70" spans="1:17" s="6" customFormat="1" x14ac:dyDescent="0.25">
      <c r="A70" s="11">
        <v>66</v>
      </c>
      <c r="B70" s="11"/>
      <c r="C70" s="11"/>
      <c r="D70" s="11" t="str">
        <f t="shared" si="6"/>
        <v/>
      </c>
      <c r="E70" s="12"/>
      <c r="F70" s="12"/>
      <c r="G70" s="11" t="str">
        <f t="shared" ca="1" si="7"/>
        <v/>
      </c>
      <c r="H70" s="13" t="str">
        <f>IFERROR(INDEX('Cronograma Base 2026'!$D$2:$J$25,MATCH($D$2&amp;"|PDT 621 / PLAME",'Cronograma Base 2026'!$A$2:$A$25,0),MATCH($D70,'Cronograma Base 2026'!$D$1:$J$1,0)),"")</f>
        <v/>
      </c>
      <c r="I70" s="12"/>
      <c r="J70" s="11" t="str">
        <f t="shared" ca="1" si="8"/>
        <v/>
      </c>
      <c r="K70" s="13" t="str">
        <f>IFERROR(INDEX('Cronograma Base 2026'!$D$2:$J$25,MATCH($D$2&amp;"|SIRE (Compras/Ventas)",'Cronograma Base 2026'!$A$2:$A$25,0),MATCH($D70,'Cronograma Base 2026'!$D$1:$J$1,0)),"")</f>
        <v/>
      </c>
      <c r="L70" s="12"/>
      <c r="M70" s="11" t="str">
        <f t="shared" ca="1" si="9"/>
        <v/>
      </c>
      <c r="N70" s="13" t="str">
        <f t="shared" si="10"/>
        <v/>
      </c>
      <c r="O70" s="12"/>
      <c r="P70" s="11" t="str">
        <f t="shared" ca="1" si="11"/>
        <v/>
      </c>
      <c r="Q70" s="11"/>
    </row>
    <row r="71" spans="1:17" s="6" customFormat="1" x14ac:dyDescent="0.25">
      <c r="A71" s="11">
        <v>67</v>
      </c>
      <c r="B71" s="11"/>
      <c r="C71" s="11"/>
      <c r="D71" s="11" t="str">
        <f t="shared" si="6"/>
        <v/>
      </c>
      <c r="E71" s="12"/>
      <c r="F71" s="12"/>
      <c r="G71" s="11" t="str">
        <f t="shared" ca="1" si="7"/>
        <v/>
      </c>
      <c r="H71" s="13" t="str">
        <f>IFERROR(INDEX('Cronograma Base 2026'!$D$2:$J$25,MATCH($D$2&amp;"|PDT 621 / PLAME",'Cronograma Base 2026'!$A$2:$A$25,0),MATCH($D71,'Cronograma Base 2026'!$D$1:$J$1,0)),"")</f>
        <v/>
      </c>
      <c r="I71" s="12"/>
      <c r="J71" s="11" t="str">
        <f t="shared" ca="1" si="8"/>
        <v/>
      </c>
      <c r="K71" s="13" t="str">
        <f>IFERROR(INDEX('Cronograma Base 2026'!$D$2:$J$25,MATCH($D$2&amp;"|SIRE (Compras/Ventas)",'Cronograma Base 2026'!$A$2:$A$25,0),MATCH($D71,'Cronograma Base 2026'!$D$1:$J$1,0)),"")</f>
        <v/>
      </c>
      <c r="L71" s="12"/>
      <c r="M71" s="11" t="str">
        <f t="shared" ca="1" si="9"/>
        <v/>
      </c>
      <c r="N71" s="13" t="str">
        <f t="shared" si="10"/>
        <v/>
      </c>
      <c r="O71" s="12"/>
      <c r="P71" s="11" t="str">
        <f t="shared" ca="1" si="11"/>
        <v/>
      </c>
      <c r="Q71" s="11"/>
    </row>
    <row r="72" spans="1:17" s="6" customFormat="1" x14ac:dyDescent="0.25">
      <c r="A72" s="11">
        <v>68</v>
      </c>
      <c r="B72" s="11"/>
      <c r="C72" s="11"/>
      <c r="D72" s="11" t="str">
        <f t="shared" si="6"/>
        <v/>
      </c>
      <c r="E72" s="12"/>
      <c r="F72" s="12"/>
      <c r="G72" s="11" t="str">
        <f t="shared" ca="1" si="7"/>
        <v/>
      </c>
      <c r="H72" s="13" t="str">
        <f>IFERROR(INDEX('Cronograma Base 2026'!$D$2:$J$25,MATCH($D$2&amp;"|PDT 621 / PLAME",'Cronograma Base 2026'!$A$2:$A$25,0),MATCH($D72,'Cronograma Base 2026'!$D$1:$J$1,0)),"")</f>
        <v/>
      </c>
      <c r="I72" s="12"/>
      <c r="J72" s="11" t="str">
        <f t="shared" ca="1" si="8"/>
        <v/>
      </c>
      <c r="K72" s="13" t="str">
        <f>IFERROR(INDEX('Cronograma Base 2026'!$D$2:$J$25,MATCH($D$2&amp;"|SIRE (Compras/Ventas)",'Cronograma Base 2026'!$A$2:$A$25,0),MATCH($D72,'Cronograma Base 2026'!$D$1:$J$1,0)),"")</f>
        <v/>
      </c>
      <c r="L72" s="12"/>
      <c r="M72" s="11" t="str">
        <f t="shared" ca="1" si="9"/>
        <v/>
      </c>
      <c r="N72" s="13" t="str">
        <f t="shared" si="10"/>
        <v/>
      </c>
      <c r="O72" s="12"/>
      <c r="P72" s="11" t="str">
        <f t="shared" ca="1" si="11"/>
        <v/>
      </c>
      <c r="Q72" s="11"/>
    </row>
    <row r="73" spans="1:17" s="6" customFormat="1" x14ac:dyDescent="0.25">
      <c r="A73" s="11">
        <v>69</v>
      </c>
      <c r="B73" s="11"/>
      <c r="C73" s="11"/>
      <c r="D73" s="11" t="str">
        <f t="shared" si="6"/>
        <v/>
      </c>
      <c r="E73" s="12"/>
      <c r="F73" s="12"/>
      <c r="G73" s="11" t="str">
        <f t="shared" ca="1" si="7"/>
        <v/>
      </c>
      <c r="H73" s="13" t="str">
        <f>IFERROR(INDEX('Cronograma Base 2026'!$D$2:$J$25,MATCH($D$2&amp;"|PDT 621 / PLAME",'Cronograma Base 2026'!$A$2:$A$25,0),MATCH($D73,'Cronograma Base 2026'!$D$1:$J$1,0)),"")</f>
        <v/>
      </c>
      <c r="I73" s="12"/>
      <c r="J73" s="11" t="str">
        <f t="shared" ca="1" si="8"/>
        <v/>
      </c>
      <c r="K73" s="13" t="str">
        <f>IFERROR(INDEX('Cronograma Base 2026'!$D$2:$J$25,MATCH($D$2&amp;"|SIRE (Compras/Ventas)",'Cronograma Base 2026'!$A$2:$A$25,0),MATCH($D73,'Cronograma Base 2026'!$D$1:$J$1,0)),"")</f>
        <v/>
      </c>
      <c r="L73" s="12"/>
      <c r="M73" s="11" t="str">
        <f t="shared" ca="1" si="9"/>
        <v/>
      </c>
      <c r="N73" s="13" t="str">
        <f t="shared" si="10"/>
        <v/>
      </c>
      <c r="O73" s="12"/>
      <c r="P73" s="11" t="str">
        <f t="shared" ca="1" si="11"/>
        <v/>
      </c>
      <c r="Q73" s="11"/>
    </row>
    <row r="74" spans="1:17" s="6" customFormat="1" x14ac:dyDescent="0.25">
      <c r="A74" s="11">
        <v>70</v>
      </c>
      <c r="B74" s="11"/>
      <c r="C74" s="11"/>
      <c r="D74" s="11" t="str">
        <f t="shared" si="6"/>
        <v/>
      </c>
      <c r="E74" s="12"/>
      <c r="F74" s="12"/>
      <c r="G74" s="11" t="str">
        <f t="shared" ca="1" si="7"/>
        <v/>
      </c>
      <c r="H74" s="13" t="str">
        <f>IFERROR(INDEX('Cronograma Base 2026'!$D$2:$J$25,MATCH($D$2&amp;"|PDT 621 / PLAME",'Cronograma Base 2026'!$A$2:$A$25,0),MATCH($D74,'Cronograma Base 2026'!$D$1:$J$1,0)),"")</f>
        <v/>
      </c>
      <c r="I74" s="12"/>
      <c r="J74" s="11" t="str">
        <f t="shared" ca="1" si="8"/>
        <v/>
      </c>
      <c r="K74" s="13" t="str">
        <f>IFERROR(INDEX('Cronograma Base 2026'!$D$2:$J$25,MATCH($D$2&amp;"|SIRE (Compras/Ventas)",'Cronograma Base 2026'!$A$2:$A$25,0),MATCH($D74,'Cronograma Base 2026'!$D$1:$J$1,0)),"")</f>
        <v/>
      </c>
      <c r="L74" s="12"/>
      <c r="M74" s="11" t="str">
        <f t="shared" ca="1" si="9"/>
        <v/>
      </c>
      <c r="N74" s="13" t="str">
        <f t="shared" si="10"/>
        <v/>
      </c>
      <c r="O74" s="12"/>
      <c r="P74" s="11" t="str">
        <f t="shared" ca="1" si="11"/>
        <v/>
      </c>
      <c r="Q74" s="11"/>
    </row>
    <row r="75" spans="1:17" s="6" customFormat="1" x14ac:dyDescent="0.25">
      <c r="A75" s="11">
        <v>71</v>
      </c>
      <c r="B75" s="11"/>
      <c r="C75" s="11"/>
      <c r="D75" s="11" t="str">
        <f t="shared" si="6"/>
        <v/>
      </c>
      <c r="E75" s="12"/>
      <c r="F75" s="12"/>
      <c r="G75" s="11" t="str">
        <f t="shared" ca="1" si="7"/>
        <v/>
      </c>
      <c r="H75" s="13" t="str">
        <f>IFERROR(INDEX('Cronograma Base 2026'!$D$2:$J$25,MATCH($D$2&amp;"|PDT 621 / PLAME",'Cronograma Base 2026'!$A$2:$A$25,0),MATCH($D75,'Cronograma Base 2026'!$D$1:$J$1,0)),"")</f>
        <v/>
      </c>
      <c r="I75" s="12"/>
      <c r="J75" s="11" t="str">
        <f t="shared" ca="1" si="8"/>
        <v/>
      </c>
      <c r="K75" s="13" t="str">
        <f>IFERROR(INDEX('Cronograma Base 2026'!$D$2:$J$25,MATCH($D$2&amp;"|SIRE (Compras/Ventas)",'Cronograma Base 2026'!$A$2:$A$25,0),MATCH($D75,'Cronograma Base 2026'!$D$1:$J$1,0)),"")</f>
        <v/>
      </c>
      <c r="L75" s="12"/>
      <c r="M75" s="11" t="str">
        <f t="shared" ca="1" si="9"/>
        <v/>
      </c>
      <c r="N75" s="13" t="str">
        <f t="shared" si="10"/>
        <v/>
      </c>
      <c r="O75" s="12"/>
      <c r="P75" s="11" t="str">
        <f t="shared" ca="1" si="11"/>
        <v/>
      </c>
      <c r="Q75" s="11"/>
    </row>
    <row r="76" spans="1:17" s="6" customFormat="1" x14ac:dyDescent="0.25">
      <c r="A76" s="11">
        <v>72</v>
      </c>
      <c r="B76" s="11"/>
      <c r="C76" s="11"/>
      <c r="D76" s="11" t="str">
        <f t="shared" si="6"/>
        <v/>
      </c>
      <c r="E76" s="12"/>
      <c r="F76" s="12"/>
      <c r="G76" s="11" t="str">
        <f t="shared" ca="1" si="7"/>
        <v/>
      </c>
      <c r="H76" s="13" t="str">
        <f>IFERROR(INDEX('Cronograma Base 2026'!$D$2:$J$25,MATCH($D$2&amp;"|PDT 621 / PLAME",'Cronograma Base 2026'!$A$2:$A$25,0),MATCH($D76,'Cronograma Base 2026'!$D$1:$J$1,0)),"")</f>
        <v/>
      </c>
      <c r="I76" s="12"/>
      <c r="J76" s="11" t="str">
        <f t="shared" ca="1" si="8"/>
        <v/>
      </c>
      <c r="K76" s="13" t="str">
        <f>IFERROR(INDEX('Cronograma Base 2026'!$D$2:$J$25,MATCH($D$2&amp;"|SIRE (Compras/Ventas)",'Cronograma Base 2026'!$A$2:$A$25,0),MATCH($D76,'Cronograma Base 2026'!$D$1:$J$1,0)),"")</f>
        <v/>
      </c>
      <c r="L76" s="12"/>
      <c r="M76" s="11" t="str">
        <f t="shared" ca="1" si="9"/>
        <v/>
      </c>
      <c r="N76" s="13" t="str">
        <f t="shared" si="10"/>
        <v/>
      </c>
      <c r="O76" s="12"/>
      <c r="P76" s="11" t="str">
        <f t="shared" ca="1" si="11"/>
        <v/>
      </c>
      <c r="Q76" s="11"/>
    </row>
    <row r="77" spans="1:17" s="6" customFormat="1" x14ac:dyDescent="0.25">
      <c r="A77" s="11">
        <v>73</v>
      </c>
      <c r="B77" s="11"/>
      <c r="C77" s="11"/>
      <c r="D77" s="11" t="str">
        <f t="shared" si="6"/>
        <v/>
      </c>
      <c r="E77" s="12"/>
      <c r="F77" s="12"/>
      <c r="G77" s="11" t="str">
        <f t="shared" ca="1" si="7"/>
        <v/>
      </c>
      <c r="H77" s="13" t="str">
        <f>IFERROR(INDEX('Cronograma Base 2026'!$D$2:$J$25,MATCH($D$2&amp;"|PDT 621 / PLAME",'Cronograma Base 2026'!$A$2:$A$25,0),MATCH($D77,'Cronograma Base 2026'!$D$1:$J$1,0)),"")</f>
        <v/>
      </c>
      <c r="I77" s="12"/>
      <c r="J77" s="11" t="str">
        <f t="shared" ca="1" si="8"/>
        <v/>
      </c>
      <c r="K77" s="13" t="str">
        <f>IFERROR(INDEX('Cronograma Base 2026'!$D$2:$J$25,MATCH($D$2&amp;"|SIRE (Compras/Ventas)",'Cronograma Base 2026'!$A$2:$A$25,0),MATCH($D77,'Cronograma Base 2026'!$D$1:$J$1,0)),"")</f>
        <v/>
      </c>
      <c r="L77" s="12"/>
      <c r="M77" s="11" t="str">
        <f t="shared" ca="1" si="9"/>
        <v/>
      </c>
      <c r="N77" s="13" t="str">
        <f t="shared" si="10"/>
        <v/>
      </c>
      <c r="O77" s="12"/>
      <c r="P77" s="11" t="str">
        <f t="shared" ca="1" si="11"/>
        <v/>
      </c>
      <c r="Q77" s="11"/>
    </row>
    <row r="78" spans="1:17" s="6" customFormat="1" x14ac:dyDescent="0.25">
      <c r="A78" s="11">
        <v>74</v>
      </c>
      <c r="B78" s="11"/>
      <c r="C78" s="11"/>
      <c r="D78" s="11" t="str">
        <f t="shared" si="6"/>
        <v/>
      </c>
      <c r="E78" s="12"/>
      <c r="F78" s="12"/>
      <c r="G78" s="11" t="str">
        <f t="shared" ca="1" si="7"/>
        <v/>
      </c>
      <c r="H78" s="13" t="str">
        <f>IFERROR(INDEX('Cronograma Base 2026'!$D$2:$J$25,MATCH($D$2&amp;"|PDT 621 / PLAME",'Cronograma Base 2026'!$A$2:$A$25,0),MATCH($D78,'Cronograma Base 2026'!$D$1:$J$1,0)),"")</f>
        <v/>
      </c>
      <c r="I78" s="12"/>
      <c r="J78" s="11" t="str">
        <f t="shared" ca="1" si="8"/>
        <v/>
      </c>
      <c r="K78" s="13" t="str">
        <f>IFERROR(INDEX('Cronograma Base 2026'!$D$2:$J$25,MATCH($D$2&amp;"|SIRE (Compras/Ventas)",'Cronograma Base 2026'!$A$2:$A$25,0),MATCH($D78,'Cronograma Base 2026'!$D$1:$J$1,0)),"")</f>
        <v/>
      </c>
      <c r="L78" s="12"/>
      <c r="M78" s="11" t="str">
        <f t="shared" ca="1" si="9"/>
        <v/>
      </c>
      <c r="N78" s="13" t="str">
        <f t="shared" si="10"/>
        <v/>
      </c>
      <c r="O78" s="12"/>
      <c r="P78" s="11" t="str">
        <f t="shared" ca="1" si="11"/>
        <v/>
      </c>
      <c r="Q78" s="11"/>
    </row>
    <row r="79" spans="1:17" s="6" customFormat="1" x14ac:dyDescent="0.25">
      <c r="A79" s="11">
        <v>75</v>
      </c>
      <c r="B79" s="11"/>
      <c r="C79" s="11"/>
      <c r="D79" s="11" t="str">
        <f t="shared" si="6"/>
        <v/>
      </c>
      <c r="E79" s="12"/>
      <c r="F79" s="12"/>
      <c r="G79" s="11" t="str">
        <f t="shared" ca="1" si="7"/>
        <v/>
      </c>
      <c r="H79" s="13" t="str">
        <f>IFERROR(INDEX('Cronograma Base 2026'!$D$2:$J$25,MATCH($D$2&amp;"|PDT 621 / PLAME",'Cronograma Base 2026'!$A$2:$A$25,0),MATCH($D79,'Cronograma Base 2026'!$D$1:$J$1,0)),"")</f>
        <v/>
      </c>
      <c r="I79" s="12"/>
      <c r="J79" s="11" t="str">
        <f t="shared" ca="1" si="8"/>
        <v/>
      </c>
      <c r="K79" s="13" t="str">
        <f>IFERROR(INDEX('Cronograma Base 2026'!$D$2:$J$25,MATCH($D$2&amp;"|SIRE (Compras/Ventas)",'Cronograma Base 2026'!$A$2:$A$25,0),MATCH($D79,'Cronograma Base 2026'!$D$1:$J$1,0)),"")</f>
        <v/>
      </c>
      <c r="L79" s="12"/>
      <c r="M79" s="11" t="str">
        <f t="shared" ca="1" si="9"/>
        <v/>
      </c>
      <c r="N79" s="13" t="str">
        <f t="shared" si="10"/>
        <v/>
      </c>
      <c r="O79" s="12"/>
      <c r="P79" s="11" t="str">
        <f t="shared" ca="1" si="11"/>
        <v/>
      </c>
      <c r="Q79" s="11"/>
    </row>
    <row r="80" spans="1:17" s="6" customFormat="1" x14ac:dyDescent="0.25">
      <c r="A80" s="11">
        <v>76</v>
      </c>
      <c r="B80" s="11"/>
      <c r="C80" s="11"/>
      <c r="D80" s="11" t="str">
        <f t="shared" si="6"/>
        <v/>
      </c>
      <c r="E80" s="12"/>
      <c r="F80" s="12"/>
      <c r="G80" s="11" t="str">
        <f t="shared" ca="1" si="7"/>
        <v/>
      </c>
      <c r="H80" s="13" t="str">
        <f>IFERROR(INDEX('Cronograma Base 2026'!$D$2:$J$25,MATCH($D$2&amp;"|PDT 621 / PLAME",'Cronograma Base 2026'!$A$2:$A$25,0),MATCH($D80,'Cronograma Base 2026'!$D$1:$J$1,0)),"")</f>
        <v/>
      </c>
      <c r="I80" s="12"/>
      <c r="J80" s="11" t="str">
        <f t="shared" ca="1" si="8"/>
        <v/>
      </c>
      <c r="K80" s="13" t="str">
        <f>IFERROR(INDEX('Cronograma Base 2026'!$D$2:$J$25,MATCH($D$2&amp;"|SIRE (Compras/Ventas)",'Cronograma Base 2026'!$A$2:$A$25,0),MATCH($D80,'Cronograma Base 2026'!$D$1:$J$1,0)),"")</f>
        <v/>
      </c>
      <c r="L80" s="12"/>
      <c r="M80" s="11" t="str">
        <f t="shared" ca="1" si="9"/>
        <v/>
      </c>
      <c r="N80" s="13" t="str">
        <f t="shared" si="10"/>
        <v/>
      </c>
      <c r="O80" s="12"/>
      <c r="P80" s="11" t="str">
        <f t="shared" ca="1" si="11"/>
        <v/>
      </c>
      <c r="Q80" s="11"/>
    </row>
    <row r="81" spans="1:17" s="6" customFormat="1" x14ac:dyDescent="0.25">
      <c r="A81" s="11">
        <v>77</v>
      </c>
      <c r="B81" s="11"/>
      <c r="C81" s="11"/>
      <c r="D81" s="11" t="str">
        <f t="shared" si="6"/>
        <v/>
      </c>
      <c r="E81" s="12"/>
      <c r="F81" s="12"/>
      <c r="G81" s="11" t="str">
        <f t="shared" ca="1" si="7"/>
        <v/>
      </c>
      <c r="H81" s="13" t="str">
        <f>IFERROR(INDEX('Cronograma Base 2026'!$D$2:$J$25,MATCH($D$2&amp;"|PDT 621 / PLAME",'Cronograma Base 2026'!$A$2:$A$25,0),MATCH($D81,'Cronograma Base 2026'!$D$1:$J$1,0)),"")</f>
        <v/>
      </c>
      <c r="I81" s="12"/>
      <c r="J81" s="11" t="str">
        <f t="shared" ca="1" si="8"/>
        <v/>
      </c>
      <c r="K81" s="13" t="str">
        <f>IFERROR(INDEX('Cronograma Base 2026'!$D$2:$J$25,MATCH($D$2&amp;"|SIRE (Compras/Ventas)",'Cronograma Base 2026'!$A$2:$A$25,0),MATCH($D81,'Cronograma Base 2026'!$D$1:$J$1,0)),"")</f>
        <v/>
      </c>
      <c r="L81" s="12"/>
      <c r="M81" s="11" t="str">
        <f t="shared" ca="1" si="9"/>
        <v/>
      </c>
      <c r="N81" s="13" t="str">
        <f t="shared" si="10"/>
        <v/>
      </c>
      <c r="O81" s="12"/>
      <c r="P81" s="11" t="str">
        <f t="shared" ca="1" si="11"/>
        <v/>
      </c>
      <c r="Q81" s="11"/>
    </row>
    <row r="82" spans="1:17" s="6" customFormat="1" x14ac:dyDescent="0.25">
      <c r="A82" s="11">
        <v>78</v>
      </c>
      <c r="B82" s="11"/>
      <c r="C82" s="11"/>
      <c r="D82" s="11" t="str">
        <f t="shared" si="6"/>
        <v/>
      </c>
      <c r="E82" s="12"/>
      <c r="F82" s="12"/>
      <c r="G82" s="11" t="str">
        <f t="shared" ca="1" si="7"/>
        <v/>
      </c>
      <c r="H82" s="13" t="str">
        <f>IFERROR(INDEX('Cronograma Base 2026'!$D$2:$J$25,MATCH($D$2&amp;"|PDT 621 / PLAME",'Cronograma Base 2026'!$A$2:$A$25,0),MATCH($D82,'Cronograma Base 2026'!$D$1:$J$1,0)),"")</f>
        <v/>
      </c>
      <c r="I82" s="12"/>
      <c r="J82" s="11" t="str">
        <f t="shared" ca="1" si="8"/>
        <v/>
      </c>
      <c r="K82" s="13" t="str">
        <f>IFERROR(INDEX('Cronograma Base 2026'!$D$2:$J$25,MATCH($D$2&amp;"|SIRE (Compras/Ventas)",'Cronograma Base 2026'!$A$2:$A$25,0),MATCH($D82,'Cronograma Base 2026'!$D$1:$J$1,0)),"")</f>
        <v/>
      </c>
      <c r="L82" s="12"/>
      <c r="M82" s="11" t="str">
        <f t="shared" ca="1" si="9"/>
        <v/>
      </c>
      <c r="N82" s="13" t="str">
        <f t="shared" si="10"/>
        <v/>
      </c>
      <c r="O82" s="12"/>
      <c r="P82" s="11" t="str">
        <f t="shared" ca="1" si="11"/>
        <v/>
      </c>
      <c r="Q82" s="11"/>
    </row>
    <row r="83" spans="1:17" s="6" customFormat="1" x14ac:dyDescent="0.25">
      <c r="A83" s="11">
        <v>79</v>
      </c>
      <c r="B83" s="11"/>
      <c r="C83" s="11"/>
      <c r="D83" s="11" t="str">
        <f t="shared" si="6"/>
        <v/>
      </c>
      <c r="E83" s="12"/>
      <c r="F83" s="12"/>
      <c r="G83" s="11" t="str">
        <f t="shared" ca="1" si="7"/>
        <v/>
      </c>
      <c r="H83" s="13" t="str">
        <f>IFERROR(INDEX('Cronograma Base 2026'!$D$2:$J$25,MATCH($D$2&amp;"|PDT 621 / PLAME",'Cronograma Base 2026'!$A$2:$A$25,0),MATCH($D83,'Cronograma Base 2026'!$D$1:$J$1,0)),"")</f>
        <v/>
      </c>
      <c r="I83" s="12"/>
      <c r="J83" s="11" t="str">
        <f t="shared" ca="1" si="8"/>
        <v/>
      </c>
      <c r="K83" s="13" t="str">
        <f>IFERROR(INDEX('Cronograma Base 2026'!$D$2:$J$25,MATCH($D$2&amp;"|SIRE (Compras/Ventas)",'Cronograma Base 2026'!$A$2:$A$25,0),MATCH($D83,'Cronograma Base 2026'!$D$1:$J$1,0)),"")</f>
        <v/>
      </c>
      <c r="L83" s="12"/>
      <c r="M83" s="11" t="str">
        <f t="shared" ca="1" si="9"/>
        <v/>
      </c>
      <c r="N83" s="13" t="str">
        <f t="shared" si="10"/>
        <v/>
      </c>
      <c r="O83" s="12"/>
      <c r="P83" s="11" t="str">
        <f t="shared" ca="1" si="11"/>
        <v/>
      </c>
      <c r="Q83" s="11"/>
    </row>
    <row r="84" spans="1:17" s="6" customFormat="1" x14ac:dyDescent="0.25">
      <c r="A84" s="11">
        <v>80</v>
      </c>
      <c r="B84" s="11"/>
      <c r="C84" s="11"/>
      <c r="D84" s="11" t="str">
        <f t="shared" si="6"/>
        <v/>
      </c>
      <c r="E84" s="12"/>
      <c r="F84" s="12"/>
      <c r="G84" s="11" t="str">
        <f t="shared" ca="1" si="7"/>
        <v/>
      </c>
      <c r="H84" s="13" t="str">
        <f>IFERROR(INDEX('Cronograma Base 2026'!$D$2:$J$25,MATCH($D$2&amp;"|PDT 621 / PLAME",'Cronograma Base 2026'!$A$2:$A$25,0),MATCH($D84,'Cronograma Base 2026'!$D$1:$J$1,0)),"")</f>
        <v/>
      </c>
      <c r="I84" s="12"/>
      <c r="J84" s="11" t="str">
        <f t="shared" ca="1" si="8"/>
        <v/>
      </c>
      <c r="K84" s="13" t="str">
        <f>IFERROR(INDEX('Cronograma Base 2026'!$D$2:$J$25,MATCH($D$2&amp;"|SIRE (Compras/Ventas)",'Cronograma Base 2026'!$A$2:$A$25,0),MATCH($D84,'Cronograma Base 2026'!$D$1:$J$1,0)),"")</f>
        <v/>
      </c>
      <c r="L84" s="12"/>
      <c r="M84" s="11" t="str">
        <f t="shared" ca="1" si="9"/>
        <v/>
      </c>
      <c r="N84" s="13" t="str">
        <f t="shared" si="10"/>
        <v/>
      </c>
      <c r="O84" s="12"/>
      <c r="P84" s="11" t="str">
        <f t="shared" ca="1" si="11"/>
        <v/>
      </c>
      <c r="Q84" s="11"/>
    </row>
    <row r="85" spans="1:17" s="6" customFormat="1" x14ac:dyDescent="0.25">
      <c r="A85" s="11">
        <v>81</v>
      </c>
      <c r="B85" s="11"/>
      <c r="C85" s="11"/>
      <c r="D85" s="11" t="str">
        <f t="shared" si="6"/>
        <v/>
      </c>
      <c r="E85" s="12"/>
      <c r="F85" s="12"/>
      <c r="G85" s="11" t="str">
        <f t="shared" ca="1" si="7"/>
        <v/>
      </c>
      <c r="H85" s="13" t="str">
        <f>IFERROR(INDEX('Cronograma Base 2026'!$D$2:$J$25,MATCH($D$2&amp;"|PDT 621 / PLAME",'Cronograma Base 2026'!$A$2:$A$25,0),MATCH($D85,'Cronograma Base 2026'!$D$1:$J$1,0)),"")</f>
        <v/>
      </c>
      <c r="I85" s="12"/>
      <c r="J85" s="11" t="str">
        <f t="shared" ca="1" si="8"/>
        <v/>
      </c>
      <c r="K85" s="13" t="str">
        <f>IFERROR(INDEX('Cronograma Base 2026'!$D$2:$J$25,MATCH($D$2&amp;"|SIRE (Compras/Ventas)",'Cronograma Base 2026'!$A$2:$A$25,0),MATCH($D85,'Cronograma Base 2026'!$D$1:$J$1,0)),"")</f>
        <v/>
      </c>
      <c r="L85" s="12"/>
      <c r="M85" s="11" t="str">
        <f t="shared" ca="1" si="9"/>
        <v/>
      </c>
      <c r="N85" s="13" t="str">
        <f t="shared" si="10"/>
        <v/>
      </c>
      <c r="O85" s="12"/>
      <c r="P85" s="11" t="str">
        <f t="shared" ca="1" si="11"/>
        <v/>
      </c>
      <c r="Q85" s="11"/>
    </row>
    <row r="86" spans="1:17" s="6" customFormat="1" x14ac:dyDescent="0.25">
      <c r="A86" s="11">
        <v>82</v>
      </c>
      <c r="B86" s="11"/>
      <c r="C86" s="11"/>
      <c r="D86" s="11" t="str">
        <f t="shared" si="6"/>
        <v/>
      </c>
      <c r="E86" s="12"/>
      <c r="F86" s="12"/>
      <c r="G86" s="11" t="str">
        <f t="shared" ca="1" si="7"/>
        <v/>
      </c>
      <c r="H86" s="13" t="str">
        <f>IFERROR(INDEX('Cronograma Base 2026'!$D$2:$J$25,MATCH($D$2&amp;"|PDT 621 / PLAME",'Cronograma Base 2026'!$A$2:$A$25,0),MATCH($D86,'Cronograma Base 2026'!$D$1:$J$1,0)),"")</f>
        <v/>
      </c>
      <c r="I86" s="12"/>
      <c r="J86" s="11" t="str">
        <f t="shared" ca="1" si="8"/>
        <v/>
      </c>
      <c r="K86" s="13" t="str">
        <f>IFERROR(INDEX('Cronograma Base 2026'!$D$2:$J$25,MATCH($D$2&amp;"|SIRE (Compras/Ventas)",'Cronograma Base 2026'!$A$2:$A$25,0),MATCH($D86,'Cronograma Base 2026'!$D$1:$J$1,0)),"")</f>
        <v/>
      </c>
      <c r="L86" s="12"/>
      <c r="M86" s="11" t="str">
        <f t="shared" ca="1" si="9"/>
        <v/>
      </c>
      <c r="N86" s="13" t="str">
        <f t="shared" si="10"/>
        <v/>
      </c>
      <c r="O86" s="12"/>
      <c r="P86" s="11" t="str">
        <f t="shared" ca="1" si="11"/>
        <v/>
      </c>
      <c r="Q86" s="11"/>
    </row>
    <row r="87" spans="1:17" s="6" customFormat="1" x14ac:dyDescent="0.25">
      <c r="A87" s="11">
        <v>83</v>
      </c>
      <c r="B87" s="11"/>
      <c r="C87" s="11"/>
      <c r="D87" s="11" t="str">
        <f t="shared" si="6"/>
        <v/>
      </c>
      <c r="E87" s="12"/>
      <c r="F87" s="12"/>
      <c r="G87" s="11" t="str">
        <f t="shared" ca="1" si="7"/>
        <v/>
      </c>
      <c r="H87" s="13" t="str">
        <f>IFERROR(INDEX('Cronograma Base 2026'!$D$2:$J$25,MATCH($D$2&amp;"|PDT 621 / PLAME",'Cronograma Base 2026'!$A$2:$A$25,0),MATCH($D87,'Cronograma Base 2026'!$D$1:$J$1,0)),"")</f>
        <v/>
      </c>
      <c r="I87" s="12"/>
      <c r="J87" s="11" t="str">
        <f t="shared" ca="1" si="8"/>
        <v/>
      </c>
      <c r="K87" s="13" t="str">
        <f>IFERROR(INDEX('Cronograma Base 2026'!$D$2:$J$25,MATCH($D$2&amp;"|SIRE (Compras/Ventas)",'Cronograma Base 2026'!$A$2:$A$25,0),MATCH($D87,'Cronograma Base 2026'!$D$1:$J$1,0)),"")</f>
        <v/>
      </c>
      <c r="L87" s="12"/>
      <c r="M87" s="11" t="str">
        <f t="shared" ca="1" si="9"/>
        <v/>
      </c>
      <c r="N87" s="13" t="str">
        <f t="shared" si="10"/>
        <v/>
      </c>
      <c r="O87" s="12"/>
      <c r="P87" s="11" t="str">
        <f t="shared" ca="1" si="11"/>
        <v/>
      </c>
      <c r="Q87" s="11"/>
    </row>
  </sheetData>
  <mergeCells count="3">
    <mergeCell ref="A1:Q1"/>
    <mergeCell ref="A2:C2"/>
    <mergeCell ref="E2:H2"/>
  </mergeCells>
  <conditionalFormatting sqref="G5:G87">
    <cfRule type="cellIs" dxfId="13" priority="4" operator="equal">
      <formula>"A TIEMPO"</formula>
    </cfRule>
    <cfRule type="cellIs" dxfId="12" priority="5" operator="equal">
      <formula>"ATRASADO"</formula>
    </cfRule>
    <cfRule type="cellIs" dxfId="11" priority="6" operator="equal">
      <formula>"PENDIENTE"</formula>
    </cfRule>
  </conditionalFormatting>
  <conditionalFormatting sqref="J5:J87">
    <cfRule type="cellIs" dxfId="10" priority="7" operator="equal">
      <formula>"A TIEMPO"</formula>
    </cfRule>
    <cfRule type="cellIs" dxfId="9" priority="8" operator="equal">
      <formula>"ATRASADO"</formula>
    </cfRule>
    <cfRule type="cellIs" dxfId="8" priority="9" operator="equal">
      <formula>"PENDIENTE"</formula>
    </cfRule>
  </conditionalFormatting>
  <conditionalFormatting sqref="M5:M87">
    <cfRule type="cellIs" dxfId="7" priority="10" operator="equal">
      <formula>"A TIEMPO"</formula>
    </cfRule>
    <cfRule type="cellIs" dxfId="6" priority="11" operator="equal">
      <formula>"ATRASADO"</formula>
    </cfRule>
    <cfRule type="cellIs" dxfId="5" priority="12" operator="equal">
      <formula>"PENDIENTE"</formula>
    </cfRule>
  </conditionalFormatting>
  <conditionalFormatting sqref="P5:P87">
    <cfRule type="cellIs" dxfId="4" priority="13" operator="equal">
      <formula>"A TIEMPO"</formula>
    </cfRule>
    <cfRule type="cellIs" dxfId="3" priority="14" operator="equal">
      <formula>"ATRASADO"</formula>
    </cfRule>
    <cfRule type="cellIs" dxfId="2" priority="15" operator="equal">
      <formula>"PENDIENTE"</formula>
    </cfRule>
  </conditionalFormatting>
  <dataValidations count="1">
    <dataValidation type="list" showErrorMessage="1" errorTitle="Periodo no válido" error="Selecciona un periodo de la lista (ej. Jun-2026). Si lo escribes manualmente y no coincide exacto, las fechas límite no se calcularán." sqref="D2" xr:uid="{00000000-0002-0000-0200-000000000000}">
      <formula1>"Ene-2026,Feb-2026,Mar-2026,Abr-2026,May-2026,Jun-2026,Jul-2026,Ago-2026,Set-2026,Oct-2026,Nov-2026,Dic-2026"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200-000002000000}">
            <xm:f>COUNTIF('Cronograma Base 2026'!$B$2:$B$25,$D$2)&gt;0</xm:f>
            <x14:dxf>
              <fill>
                <patternFill>
                  <bgColor rgb="FFC6EFCE"/>
                </patternFill>
              </fill>
            </x14:dxf>
          </x14:cfRule>
          <x14:cfRule type="expression" priority="3" id="{00000000-000E-0000-0200-000003000000}">
            <xm:f>COUNTIF('Cronograma Base 2026'!$B$2:$B$25,$D$2)=0</xm:f>
            <x14:dxf>
              <fill>
                <patternFill>
                  <bgColor rgb="FFFFC7CE"/>
                </patternFill>
              </fill>
            </x14:dxf>
          </x14:cfRule>
          <xm:sqref>E2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selection sqref="A1:D1"/>
    </sheetView>
  </sheetViews>
  <sheetFormatPr baseColWidth="10" defaultColWidth="8.625" defaultRowHeight="14.3" x14ac:dyDescent="0.25"/>
  <cols>
    <col min="1" max="1" width="16" customWidth="1"/>
    <col min="2" max="4" width="12" customWidth="1"/>
  </cols>
  <sheetData>
    <row r="1" spans="1:4" ht="16.3" x14ac:dyDescent="0.25">
      <c r="A1" s="4" t="s">
        <v>75</v>
      </c>
      <c r="B1" s="4"/>
      <c r="C1" s="4"/>
      <c r="D1" s="4"/>
    </row>
    <row r="3" spans="1:4" x14ac:dyDescent="0.25">
      <c r="A3" s="2" t="s">
        <v>20</v>
      </c>
      <c r="B3" s="2" t="s">
        <v>76</v>
      </c>
      <c r="C3" s="2" t="s">
        <v>77</v>
      </c>
      <c r="D3" s="2" t="s">
        <v>78</v>
      </c>
    </row>
    <row r="4" spans="1:4" x14ac:dyDescent="0.25">
      <c r="A4" s="1" t="s">
        <v>79</v>
      </c>
      <c r="B4">
        <f ca="1">COUNTIF('Control Clientes'!G5:G87,"A TIEMPO")</f>
        <v>0</v>
      </c>
      <c r="C4">
        <f ca="1">COUNTIF('Control Clientes'!G5:G87,"ATRASADO")</f>
        <v>0</v>
      </c>
      <c r="D4">
        <f ca="1">COUNTIF('Control Clientes'!G5:G87,"PENDIENTE")</f>
        <v>0</v>
      </c>
    </row>
    <row r="5" spans="1:4" x14ac:dyDescent="0.25">
      <c r="A5" s="1" t="s">
        <v>80</v>
      </c>
      <c r="B5">
        <f ca="1">COUNTIF('Control Clientes'!J5:J87,"A TIEMPO")</f>
        <v>0</v>
      </c>
      <c r="C5">
        <f ca="1">COUNTIF('Control Clientes'!J5:J87,"ATRASADO")</f>
        <v>0</v>
      </c>
      <c r="D5">
        <f ca="1">COUNTIF('Control Clientes'!J5:J87,"PENDIENTE")</f>
        <v>0</v>
      </c>
    </row>
    <row r="6" spans="1:4" x14ac:dyDescent="0.25">
      <c r="A6" s="1" t="s">
        <v>81</v>
      </c>
      <c r="B6">
        <f ca="1">COUNTIF('Control Clientes'!M5:M87,"A TIEMPO")</f>
        <v>0</v>
      </c>
      <c r="C6">
        <f ca="1">COUNTIF('Control Clientes'!M5:M87,"ATRASADO")</f>
        <v>0</v>
      </c>
      <c r="D6">
        <f ca="1">COUNTIF('Control Clientes'!M5:M87,"PENDIENTE")</f>
        <v>0</v>
      </c>
    </row>
    <row r="7" spans="1:4" x14ac:dyDescent="0.25">
      <c r="A7" s="1" t="s">
        <v>82</v>
      </c>
      <c r="B7">
        <f ca="1">COUNTIF('Control Clientes'!P5:P87,"A TIEMPO")</f>
        <v>0</v>
      </c>
      <c r="C7">
        <f ca="1">COUNTIF('Control Clientes'!P5:P87,"ATRASADO")</f>
        <v>0</v>
      </c>
      <c r="D7">
        <f ca="1">COUNTIF('Control Clientes'!P5:P87,"PENDIENTE")</f>
        <v>0</v>
      </c>
    </row>
  </sheetData>
  <mergeCells count="1">
    <mergeCell ref="A1:D1"/>
  </mergeCells>
  <conditionalFormatting sqref="C4:C7">
    <cfRule type="cellIs" dxfId="1" priority="2" operator="greaterThan">
      <formula>0</formula>
    </cfRule>
  </conditionalFormatting>
  <conditionalFormatting sqref="D4:D7">
    <cfRule type="cellIs" dxfId="0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Cronograma Base 2026</vt:lpstr>
      <vt:lpstr>Control Clientes</vt:lpstr>
      <vt:lpstr>Resumen del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</cp:lastModifiedBy>
  <cp:revision>0</cp:revision>
  <dcterms:created xsi:type="dcterms:W3CDTF">2026-07-28T04:06:38Z</dcterms:created>
  <dcterms:modified xsi:type="dcterms:W3CDTF">2026-07-28T04:28:02Z</dcterms:modified>
  <dc:language>en-US</dc:language>
</cp:coreProperties>
</file>